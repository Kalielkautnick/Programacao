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tables/table7.xml" ContentType="application/vnd.openxmlformats-officedocument.spreadsheetml.table+xml"/>
  <Override PartName="/xl/pivotTables/pivotTable8.xml" ContentType="application/vnd.openxmlformats-officedocument.spreadsheetml.pivot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tables/table9.xml" ContentType="application/vnd.openxmlformats-officedocument.spreadsheetml.table+xml"/>
  <Override PartName="/xl/pivotTables/pivotTable10.xml" ContentType="application/vnd.openxmlformats-officedocument.spreadsheetml.pivotTable+xml"/>
  <Override PartName="/xl/tables/table10.xml" ContentType="application/vnd.openxmlformats-officedocument.spreadsheetml.table+xml"/>
  <Override PartName="/xl/pivotTables/pivotTable11.xml" ContentType="application/vnd.openxmlformats-officedocument.spreadsheetml.pivotTable+xml"/>
  <Override PartName="/xl/tables/table11.xml" ContentType="application/vnd.openxmlformats-officedocument.spreadsheetml.table+xml"/>
  <Override PartName="/xl/pivotTables/pivotTable12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tables/table14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5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gramacao\Excel\"/>
    </mc:Choice>
  </mc:AlternateContent>
  <xr:revisionPtr revIDLastSave="0" documentId="13_ncr:1_{2CC3812D-0DE4-44B2-A42F-981D3FFEDCAF}" xr6:coauthVersionLast="47" xr6:coauthVersionMax="47" xr10:uidLastSave="{00000000-0000-0000-0000-000000000000}"/>
  <bookViews>
    <workbookView xWindow="-108" yWindow="-108" windowWidth="23256" windowHeight="12456" firstSheet="8" activeTab="12" xr2:uid="{B7849B7D-63EC-403E-A3C1-3B880C2B3FD6}"/>
  </bookViews>
  <sheets>
    <sheet name="Janeiro" sheetId="10" r:id="rId1"/>
    <sheet name="Fevereiro" sheetId="11" r:id="rId2"/>
    <sheet name="Março" sheetId="12" r:id="rId3"/>
    <sheet name="Abril" sheetId="13" r:id="rId4"/>
    <sheet name="Maio" sheetId="1" r:id="rId5"/>
    <sheet name="Junho" sheetId="2" r:id="rId6"/>
    <sheet name="Julho" sheetId="3" r:id="rId7"/>
    <sheet name="Agosto" sheetId="4" r:id="rId8"/>
    <sheet name="Setembro" sheetId="5" r:id="rId9"/>
    <sheet name="Outubro" sheetId="6" r:id="rId10"/>
    <sheet name="Novembro" sheetId="7" r:id="rId11"/>
    <sheet name="Dezembro" sheetId="8" r:id="rId12"/>
    <sheet name="Categorias" sheetId="14" r:id="rId13"/>
    <sheet name="Tabelas" sheetId="29" r:id="rId14"/>
    <sheet name="Totais" sheetId="37" r:id="rId15"/>
    <sheet name="Totais (2)" sheetId="39" state="hidden" r:id="rId16"/>
  </sheets>
  <definedNames>
    <definedName name="_xlcn.WorksheetConnection_Gastos2023.xlsxAgosto1" hidden="1">Agosto[]</definedName>
    <definedName name="_xlcn.WorksheetConnection_Gastos2023.xlsxDezembro1" hidden="1">Dezembro[]</definedName>
    <definedName name="_xlcn.WorksheetConnection_Gastos2023.xlsxJaneiro1" hidden="1">Janeiro[]</definedName>
    <definedName name="_xlcn.WorksheetConnection_Gastos2023.xlsxJulho1" hidden="1">Julho[]</definedName>
    <definedName name="_xlcn.WorksheetConnection_Gastos2023.xlsxJunho1" hidden="1">Junho[]</definedName>
    <definedName name="_xlcn.WorksheetConnection_Gastos2023.xlsxMaio1" hidden="1">Maio[]</definedName>
    <definedName name="_xlcn.WorksheetConnection_Gastos2023.xlsxNovembro1" hidden="1">Novembro[]</definedName>
    <definedName name="_xlcn.WorksheetConnection_Gastos2023.xlsxOutubro1" hidden="1">Outubro[]</definedName>
    <definedName name="_xlcn.WorksheetConnection_Gastos2023.xlsxSetembro1" hidden="1">Setembro[]</definedName>
    <definedName name="_xlcn.WorksheetConnection_Gastos2023.xlsxTabela101" hidden="1">Categorias[]</definedName>
    <definedName name="_xlcn.WorksheetConnection_Gastos2023.xlsxTabelaTotais1" hidden="1">TabelaTotais</definedName>
    <definedName name="_xlcn.WorksheetConnection_MaioF1G61" hidden="1">Maio!$F$1:$G$6</definedName>
    <definedName name="SegmentaçãodeDados_Categoria">#N/A</definedName>
    <definedName name="SegmentaçãodeDados_Categoria1">#N/A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5" r:id="rId29"/>
  </pivotCaches>
  <extLst>
    <ext xmlns:x14="http://schemas.microsoft.com/office/spreadsheetml/2009/9/main" uri="{BBE1A952-AA13-448e-AADC-164F8A28A991}">
      <x14:slicerCaches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1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Maio!$F$1:$G$6"/>
          <x15:modelTable id="TabelaTotais" name="TabelaTotais" connection="WorksheetConnection_Gastos 2023.xlsx!TabelaTotais"/>
          <x15:modelTable id="Tabela10" name="Tabela10" connection="WorksheetConnection_Gastos 2023.xlsx!Tabela10"/>
          <x15:modelTable id="Setembro" name="Setembro" connection="WorksheetConnection_Gastos 2023.xlsx!Setembro"/>
          <x15:modelTable id="Outubro" name="Outubro" connection="WorksheetConnection_Gastos 2023.xlsx!Outubro"/>
          <x15:modelTable id="Novembro" name="Novembro" connection="WorksheetConnection_Gastos 2023.xlsx!Novembro"/>
          <x15:modelTable id="Maio" name="Maio" connection="WorksheetConnection_Gastos 2023.xlsx!Maio"/>
          <x15:modelTable id="Junho" name="Junho" connection="WorksheetConnection_Gastos 2023.xlsx!Junho"/>
          <x15:modelTable id="Julho" name="Julho" connection="WorksheetConnection_Gastos 2023.xlsx!Julho"/>
          <x15:modelTable id="Janeiro" name="Janeiro" connection="WorksheetConnection_Gastos 2023.xlsx!Janeiro"/>
          <x15:modelTable id="Dezembro" name="Dezembro" connection="WorksheetConnection_Gastos 2023.xlsx!Dezembro"/>
          <x15:modelTable id="Agosto" name="Agosto" connection="WorksheetConnection_Gastos 2023.xlsx!Agosto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29" l="1" a="1"/>
  <c r="F21" i="29" s="1"/>
  <c r="F32" i="29" a="1"/>
  <c r="F32" i="29" s="1"/>
  <c r="F31" i="29" a="1"/>
  <c r="F31" i="29" s="1"/>
  <c r="F30" i="29" a="1"/>
  <c r="F30" i="29" s="1"/>
  <c r="F29" i="29" a="1"/>
  <c r="F29" i="29" s="1"/>
  <c r="F28" i="29" a="1"/>
  <c r="F28" i="29" s="1"/>
  <c r="F27" i="29" a="1"/>
  <c r="F27" i="29" s="1"/>
  <c r="F26" i="29" a="1"/>
  <c r="F26" i="29" s="1"/>
  <c r="F25" i="29" a="1"/>
  <c r="F25" i="29" s="1"/>
  <c r="F24" i="29" a="1"/>
  <c r="F24" i="29" s="1"/>
  <c r="F23" i="29" a="1"/>
  <c r="F23" i="29" s="1"/>
  <c r="F22" i="29" a="1"/>
  <c r="F22" i="29" s="1"/>
  <c r="E32" i="29"/>
  <c r="E22" i="29"/>
  <c r="E21" i="29"/>
  <c r="E31" i="29"/>
  <c r="E30" i="29"/>
  <c r="E27" i="29"/>
  <c r="E26" i="29"/>
  <c r="E28" i="29"/>
  <c r="E29" i="29"/>
  <c r="E25" i="29"/>
  <c r="E24" i="29"/>
  <c r="E23" i="29"/>
  <c r="O4" i="37"/>
  <c r="O3" i="37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O22" i="39"/>
  <c r="O21" i="39"/>
  <c r="O20" i="39"/>
  <c r="O19" i="39"/>
  <c r="O18" i="39"/>
  <c r="O17" i="39"/>
  <c r="O16" i="39"/>
  <c r="O15" i="39"/>
  <c r="O14" i="39"/>
  <c r="O13" i="39"/>
  <c r="O12" i="39"/>
  <c r="O11" i="39"/>
  <c r="O10" i="39"/>
  <c r="O9" i="39"/>
  <c r="O8" i="39"/>
  <c r="O7" i="39"/>
  <c r="O6" i="39"/>
  <c r="O5" i="39"/>
  <c r="O4" i="39"/>
  <c r="O3" i="39"/>
  <c r="D2" i="10"/>
  <c r="D2" i="11"/>
  <c r="D2" i="12"/>
  <c r="D2" i="13"/>
  <c r="D2" i="1"/>
  <c r="D2" i="2"/>
  <c r="D2" i="3"/>
  <c r="D2" i="4"/>
  <c r="D2" i="5"/>
  <c r="D2" i="6"/>
  <c r="D2" i="7"/>
  <c r="D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98CB9B-F62F-4361-87AE-A23EE6A7B4C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7B9EBC8-5CEE-4C55-B53E-F5DDE02C1F5F}" name="WorksheetConnection_Gastos 2023.xlsx!Agosto" type="102" refreshedVersion="8" minRefreshableVersion="5" refreshOnLoad="1" saveData="1">
    <extLst>
      <ext xmlns:x15="http://schemas.microsoft.com/office/spreadsheetml/2010/11/main" uri="{DE250136-89BD-433C-8126-D09CA5730AF9}">
        <x15:connection id="Agosto">
          <x15:rangePr sourceName="_xlcn.WorksheetConnection_Gastos2023.xlsxAgosto1"/>
        </x15:connection>
      </ext>
    </extLst>
  </connection>
  <connection id="3" xr16:uid="{9118FE0F-D167-432C-B8E9-6BB6458AA751}" name="WorksheetConnection_Gastos 2023.xlsx!Dezembro" type="102" refreshedVersion="8" minRefreshableVersion="5">
    <extLst>
      <ext xmlns:x15="http://schemas.microsoft.com/office/spreadsheetml/2010/11/main" uri="{DE250136-89BD-433C-8126-D09CA5730AF9}">
        <x15:connection id="Dezembro">
          <x15:rangePr sourceName="_xlcn.WorksheetConnection_Gastos2023.xlsxDezembro1"/>
        </x15:connection>
      </ext>
    </extLst>
  </connection>
  <connection id="4" xr16:uid="{F1BDDC3B-C55A-4D1E-9C89-20652CC49EE1}" name="WorksheetConnection_Gastos 2023.xlsx!Janeiro" type="102" refreshedVersion="8" minRefreshableVersion="5">
    <extLst>
      <ext xmlns:x15="http://schemas.microsoft.com/office/spreadsheetml/2010/11/main" uri="{DE250136-89BD-433C-8126-D09CA5730AF9}">
        <x15:connection id="Janeiro">
          <x15:rangePr sourceName="_xlcn.WorksheetConnection_Gastos2023.xlsxJaneiro1"/>
        </x15:connection>
      </ext>
    </extLst>
  </connection>
  <connection id="5" xr16:uid="{15224FBE-A05D-4ED2-84D1-195375E3EEF2}" name="WorksheetConnection_Gastos 2023.xlsx!Julho" type="102" refreshedVersion="8" minRefreshableVersion="5">
    <extLst>
      <ext xmlns:x15="http://schemas.microsoft.com/office/spreadsheetml/2010/11/main" uri="{DE250136-89BD-433C-8126-D09CA5730AF9}">
        <x15:connection id="Julho" autoDelete="1">
          <x15:rangePr sourceName="_xlcn.WorksheetConnection_Gastos2023.xlsxJulho1"/>
        </x15:connection>
      </ext>
    </extLst>
  </connection>
  <connection id="6" xr16:uid="{232B4BF6-C341-41F8-AE45-96F0E4D92FB1}" name="WorksheetConnection_Gastos 2023.xlsx!Junho" type="102" refreshedVersion="8" minRefreshableVersion="5">
    <extLst>
      <ext xmlns:x15="http://schemas.microsoft.com/office/spreadsheetml/2010/11/main" uri="{DE250136-89BD-433C-8126-D09CA5730AF9}">
        <x15:connection id="Junho">
          <x15:rangePr sourceName="_xlcn.WorksheetConnection_Gastos2023.xlsxJunho1"/>
        </x15:connection>
      </ext>
    </extLst>
  </connection>
  <connection id="7" xr16:uid="{98ACBC6D-B3B0-4EF7-A87E-ADF7ADA5E8C3}" name="WorksheetConnection_Gastos 2023.xlsx!Maio" type="102" refreshedVersion="8" minRefreshableVersion="5">
    <extLst>
      <ext xmlns:x15="http://schemas.microsoft.com/office/spreadsheetml/2010/11/main" uri="{DE250136-89BD-433C-8126-D09CA5730AF9}">
        <x15:connection id="Maio">
          <x15:rangePr sourceName="_xlcn.WorksheetConnection_Gastos2023.xlsxMaio1"/>
        </x15:connection>
      </ext>
    </extLst>
  </connection>
  <connection id="8" xr16:uid="{D7FF085A-3332-4F75-8644-1D85D80B6353}" name="WorksheetConnection_Gastos 2023.xlsx!Novembro" type="102" refreshedVersion="8" minRefreshableVersion="5">
    <extLst>
      <ext xmlns:x15="http://schemas.microsoft.com/office/spreadsheetml/2010/11/main" uri="{DE250136-89BD-433C-8126-D09CA5730AF9}">
        <x15:connection id="Novembro">
          <x15:rangePr sourceName="_xlcn.WorksheetConnection_Gastos2023.xlsxNovembro1"/>
        </x15:connection>
      </ext>
    </extLst>
  </connection>
  <connection id="9" xr16:uid="{C8C5B5D5-F5F1-474D-9703-90844CA4BEF2}" name="WorksheetConnection_Gastos 2023.xlsx!Outubro" type="102" refreshedVersion="8" minRefreshableVersion="5">
    <extLst>
      <ext xmlns:x15="http://schemas.microsoft.com/office/spreadsheetml/2010/11/main" uri="{DE250136-89BD-433C-8126-D09CA5730AF9}">
        <x15:connection id="Outubro">
          <x15:rangePr sourceName="_xlcn.WorksheetConnection_Gastos2023.xlsxOutubro1"/>
        </x15:connection>
      </ext>
    </extLst>
  </connection>
  <connection id="10" xr16:uid="{AE01F599-D13A-434A-9C5F-6A83402D6B8B}" name="WorksheetConnection_Gastos 2023.xlsx!Setembro" type="102" refreshedVersion="8" minRefreshableVersion="5">
    <extLst>
      <ext xmlns:x15="http://schemas.microsoft.com/office/spreadsheetml/2010/11/main" uri="{DE250136-89BD-433C-8126-D09CA5730AF9}">
        <x15:connection id="Setembro">
          <x15:rangePr sourceName="_xlcn.WorksheetConnection_Gastos2023.xlsxSetembro1"/>
        </x15:connection>
      </ext>
    </extLst>
  </connection>
  <connection id="11" xr16:uid="{35657771-81AB-4B89-A9BF-7C9CF00B7040}" name="WorksheetConnection_Gastos 2023.xlsx!Tabela10" type="102" refreshedVersion="8" minRefreshableVersion="5">
    <extLst>
      <ext xmlns:x15="http://schemas.microsoft.com/office/spreadsheetml/2010/11/main" uri="{DE250136-89BD-433C-8126-D09CA5730AF9}">
        <x15:connection id="Tabela10">
          <x15:rangePr sourceName="_xlcn.WorksheetConnection_Gastos2023.xlsxTabela101"/>
        </x15:connection>
      </ext>
    </extLst>
  </connection>
  <connection id="12" xr16:uid="{CC1457C1-6391-4544-8830-8D1DD395FD73}" name="WorksheetConnection_Gastos 2023.xlsx!TabelaTotais" type="102" refreshedVersion="8" minRefreshableVersion="5">
    <extLst>
      <ext xmlns:x15="http://schemas.microsoft.com/office/spreadsheetml/2010/11/main" uri="{DE250136-89BD-433C-8126-D09CA5730AF9}">
        <x15:connection id="TabelaTotais">
          <x15:rangePr sourceName="_xlcn.WorksheetConnection_Gastos2023.xlsxTabelaTotais1"/>
        </x15:connection>
      </ext>
    </extLst>
  </connection>
  <connection id="13" xr16:uid="{9BD9ADB3-7C66-4B5D-B8CF-58D88C8F290F}" name="WorksheetConnection_Maio!$F$1:$G$6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MaioF1G6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<sst xmlns="http://schemas.openxmlformats.org/spreadsheetml/2006/main" count="220" uniqueCount="65">
  <si>
    <t>Total</t>
  </si>
  <si>
    <t>Categoria</t>
  </si>
  <si>
    <t>Valor</t>
  </si>
  <si>
    <t>Total Geral</t>
  </si>
  <si>
    <t>Categorias</t>
  </si>
  <si>
    <t>Abs geriatrico</t>
  </si>
  <si>
    <t>Ap.pressao</t>
  </si>
  <si>
    <t>Colchão</t>
  </si>
  <si>
    <t>Cuidadora</t>
  </si>
  <si>
    <t>Curatela</t>
  </si>
  <si>
    <t>Exame</t>
  </si>
  <si>
    <t>Farmácia</t>
  </si>
  <si>
    <t>Fisio</t>
  </si>
  <si>
    <t>Fono</t>
  </si>
  <si>
    <t>Guincho</t>
  </si>
  <si>
    <t>Lençol</t>
  </si>
  <si>
    <t>Lenços higiênicos</t>
  </si>
  <si>
    <t>Pedra rampa</t>
  </si>
  <si>
    <t>Pisante porta</t>
  </si>
  <si>
    <t>Produtos limpeza</t>
  </si>
  <si>
    <t>Prontuário</t>
  </si>
  <si>
    <t>Roupa de cama</t>
  </si>
  <si>
    <t>Secadora de roupa</t>
  </si>
  <si>
    <t>Comida</t>
  </si>
  <si>
    <t>Gasolina</t>
  </si>
  <si>
    <t>Restaurante</t>
  </si>
  <si>
    <t>Fraldas</t>
  </si>
  <si>
    <t>Luz</t>
  </si>
  <si>
    <t>Água</t>
  </si>
  <si>
    <t>Internet</t>
  </si>
  <si>
    <t>Telefone</t>
  </si>
  <si>
    <t>IPVA</t>
  </si>
  <si>
    <t>IPTU</t>
  </si>
  <si>
    <t>I.R</t>
  </si>
  <si>
    <t>Total Janeiro</t>
  </si>
  <si>
    <t>Total Fevereiro</t>
  </si>
  <si>
    <t>Total Julho</t>
  </si>
  <si>
    <t>Total Agosto</t>
  </si>
  <si>
    <t>Total Setembro</t>
  </si>
  <si>
    <t>Total Outubro</t>
  </si>
  <si>
    <t>Total Novembro</t>
  </si>
  <si>
    <t>Total Dezembro</t>
  </si>
  <si>
    <t>Total Maio</t>
  </si>
  <si>
    <t>Total Março</t>
  </si>
  <si>
    <t>Total Abril</t>
  </si>
  <si>
    <t>Total Junho</t>
  </si>
  <si>
    <t>(vazio)</t>
  </si>
  <si>
    <t>Outros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</si>
  <si>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</si>
  <si>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</si>
  <si>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</si>
  <si>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</si>
  <si>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</si>
  <si>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</si>
  <si>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</si>
  <si>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</si>
  <si>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</si>
  <si>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</si>
  <si>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</si>
  <si>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</si>
  <si>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</si>
  <si>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Total por Categoria</t>
  </si>
  <si>
    <t>Total por Mês</t>
  </si>
  <si>
    <t>Valor Total</t>
  </si>
  <si>
    <t>Valor Filtrado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</si>
</sst>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se\cyyd\o\ryy\ de\ \r\o\u\p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64" fontId="0" fillId="0" borderId="1" xfId="0" applyNumberFormat="1" applyBorder="1"/>
    <xf numFmtId="164" fontId="0" fillId="0" borderId="2" xfId="0" applyNumberFormat="1" applyBorder="1"/>
    <xf numFmtId="0" fontId="0" fillId="0" borderId="3" xfId="0" applyBorder="1"/>
    <xf numFmtId="164" fontId="0" fillId="0" borderId="4" xfId="0" applyNumberFormat="1" applyBorder="1"/>
    <xf numFmtId="164" fontId="0" fillId="0" borderId="0" xfId="0" applyNumberFormat="1"/>
    <xf numFmtId="164" fontId="0" fillId="0" borderId="1" xfId="0" pivotButton="1" applyNumberFormat="1" applyBorder="1"/>
    <xf numFmtId="164" fontId="0" fillId="0" borderId="1" xfId="0" applyNumberFormat="1" applyBorder="1" applyAlignment="1">
      <alignment horizontal="left"/>
    </xf>
    <xf numFmtId="49" fontId="0" fillId="0" borderId="3" xfId="0" applyNumberFormat="1" applyBorder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3" borderId="0" xfId="0" applyFill="1"/>
    <xf numFmtId="0" fontId="1" fillId="3" borderId="0" xfId="0" applyFont="1" applyFill="1" applyAlignment="1">
      <alignment horizontal="center"/>
    </xf>
    <xf numFmtId="164" fontId="1" fillId="2" borderId="1" xfId="0" applyNumberFormat="1" applyFont="1" applyFill="1" applyBorder="1"/>
    <xf numFmtId="0" fontId="2" fillId="4" borderId="0" xfId="0" applyFont="1" applyFill="1"/>
    <xf numFmtId="0" fontId="3" fillId="0" borderId="1" xfId="0" applyFont="1" applyBorder="1"/>
    <xf numFmtId="164" fontId="3" fillId="0" borderId="1" xfId="0" applyNumberFormat="1" applyFont="1" applyBorder="1"/>
    <xf numFmtId="0" fontId="4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left"/>
    </xf>
    <xf numFmtId="0" fontId="1" fillId="0" borderId="1" xfId="0" applyFont="1" applyBorder="1"/>
    <xf numFmtId="164" fontId="1" fillId="0" borderId="1" xfId="0" applyNumberFormat="1" applyFont="1" applyBorder="1"/>
    <xf numFmtId="164" fontId="1" fillId="4" borderId="0" xfId="0" applyNumberFormat="1" applyFont="1" applyFill="1"/>
    <xf numFmtId="0" fontId="0" fillId="4" borderId="0" xfId="0" applyFill="1"/>
    <xf numFmtId="0" fontId="0" fillId="0" borderId="5" xfId="0" applyBorder="1" applyAlignment="1">
      <alignment horizontal="left"/>
    </xf>
    <xf numFmtId="164" fontId="0" fillId="0" borderId="3" xfId="0" applyNumberFormat="1" applyBorder="1"/>
    <xf numFmtId="164" fontId="0" fillId="0" borderId="7" xfId="0" applyNumberFormat="1" applyBorder="1"/>
    <xf numFmtId="0" fontId="0" fillId="0" borderId="8" xfId="0" applyBorder="1"/>
    <xf numFmtId="0" fontId="0" fillId="0" borderId="2" xfId="0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6" xfId="0" applyFont="1" applyBorder="1" applyAlignment="1">
      <alignment horizontal="center"/>
    </xf>
  </cellXfs>
  <cellStyles count="1">
    <cellStyle name="Normal" xfId="0" builtinId="0"/>
  </cellStyles>
  <dxfs count="17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ont>
        <strike val="0"/>
        <outline val="0"/>
        <shadow val="0"/>
        <u val="none"/>
        <vertAlign val="baseline"/>
        <sz val="11"/>
        <color theme="4" tint="0.59999389629810485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&quot;R$&quot;\ #,##0.00"/>
    </dxf>
    <dxf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</dxf>
    <dxf>
      <numFmt numFmtId="164" formatCode="&quot;R$&quot;\ #,##0.00"/>
    </dxf>
    <dxf>
      <numFmt numFmtId="165" formatCode="se\cyyd\o\ryy\ de\ \r\o\u\pyy"/>
    </dxf>
    <dxf>
      <numFmt numFmtId="165" formatCode="se\cyyd\o\ryy\ de\ \r\o\u\p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  <dxf>
      <numFmt numFmtId="164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R$&quot;\ #,##0.00"/>
    </dxf>
    <dxf>
      <numFmt numFmtId="164" formatCode="&quot;R$&quot;\ #,##0.0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10.xml"/><Relationship Id="rId39" Type="http://schemas.openxmlformats.org/officeDocument/2006/relationships/customXml" Target="../customXml/item1.xml"/><Relationship Id="rId21" Type="http://schemas.openxmlformats.org/officeDocument/2006/relationships/pivotCacheDefinition" Target="pivotCache/pivotCacheDefinition5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openxmlformats.org/officeDocument/2006/relationships/pivotCacheDefinition" Target="pivotCache/pivotCacheDefiniti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30" Type="http://schemas.microsoft.com/office/2007/relationships/slicerCache" Target="slicerCaches/slicerCache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815340</xdr:colOff>
      <xdr:row>9</xdr:row>
      <xdr:rowOff>152399</xdr:rowOff>
    </xdr:from>
    <xdr:to>
      <xdr:col>11</xdr:col>
      <xdr:colOff>259080</xdr:colOff>
      <xdr:row>15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acao_categoria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acao_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0" y="1844039"/>
              <a:ext cx="10126980" cy="960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175260</xdr:rowOff>
        </xdr:from>
        <xdr:to>
          <xdr:col>0</xdr:col>
          <xdr:colOff>1242060</xdr:colOff>
          <xdr:row>3</xdr:row>
          <xdr:rowOff>83820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E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(obrigatório)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167640</xdr:colOff>
      <xdr:row>19</xdr:row>
      <xdr:rowOff>15241</xdr:rowOff>
    </xdr:from>
    <xdr:to>
      <xdr:col>14</xdr:col>
      <xdr:colOff>388620</xdr:colOff>
      <xdr:row>23</xdr:row>
      <xdr:rowOff>129540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tegoria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640" y="3307081"/>
              <a:ext cx="13586460" cy="8458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</xdr:row>
          <xdr:rowOff>106680</xdr:rowOff>
        </xdr:from>
        <xdr:to>
          <xdr:col>0</xdr:col>
          <xdr:colOff>982980</xdr:colOff>
          <xdr:row>7</xdr:row>
          <xdr:rowOff>30480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(obrigatório)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54861108" backgroundQuery="1" createdVersion="8" refreshedVersion="8" minRefreshableVersion="3" recordCount="0" supportSubquery="1" supportAdvancedDrill="1" xr:uid="{DE149EC5-9FF5-4E5D-9562-4F4BAAA242B3}">
  <cacheSource type="external" connectionId="1"/>
  <cacheFields count="2">
    <cacheField name="[Setembro].[Categorias].[Categorias]" caption="Categorias" numFmtId="0" hierarchy="18" level="1">
      <sharedItems count="1">
        <s v="Outros"/>
      </sharedItems>
    </cacheField>
    <cacheField name="[Measures].[Soma de Valor 5]" caption="Soma de Valor 5" numFmtId="0" hierarchy="51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2" memberValueDatatype="130" unbalanced="0">
      <fieldsUsage count="2">
        <fieldUsage x="-1"/>
        <fieldUsage x="0"/>
      </fieldsUsage>
    </cacheHierarchy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58333334" backgroundQuery="1" createdVersion="8" refreshedVersion="8" minRefreshableVersion="3" recordCount="0" supportSubquery="1" supportAdvancedDrill="1" xr:uid="{1EF16087-FED7-454D-B3AF-C15292CD44F8}">
  <cacheSource type="external" connectionId="1"/>
  <cacheFields count="2">
    <cacheField name="[Outubro].[Categorias].[Categorias]" caption="Categorias" numFmtId="0" hierarchy="16" level="1">
      <sharedItems count="1">
        <s v="Outros"/>
      </sharedItems>
    </cacheField>
    <cacheField name="[Measures].[Soma de Valor 6]" caption="Soma de Valor 6" numFmtId="0" hierarchy="52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2" memberValueDatatype="130" unbalanced="0">
      <fieldsUsage count="2">
        <fieldUsage x="-1"/>
        <fieldUsage x="0"/>
      </fieldsUsage>
    </cacheHierarchy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61689813" backgroundQuery="1" createdVersion="8" refreshedVersion="8" minRefreshableVersion="3" recordCount="0" supportSubquery="1" supportAdvancedDrill="1" xr:uid="{1632867E-9E36-4BDF-87AB-792CB8D429E5}">
  <cacheSource type="external" connectionId="1"/>
  <cacheFields count="2">
    <cacheField name="[Novembro].[Categorias].[Categorias]" caption="Categorias" numFmtId="0" hierarchy="14" level="1">
      <sharedItems count="1">
        <s v="Outros"/>
      </sharedItems>
    </cacheField>
    <cacheField name="[Measures].[Soma de Valor 7]" caption="Soma de Valor 7" numFmtId="0" hierarchy="53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2" memberValueDatatype="130" unbalanced="0">
      <fieldsUsage count="2">
        <fieldUsage x="-1"/>
        <fieldUsage x="0"/>
      </fieldsUsage>
    </cacheHierarchy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65162038" backgroundQuery="1" createdVersion="8" refreshedVersion="8" minRefreshableVersion="3" recordCount="0" supportSubquery="1" supportAdvancedDrill="1" xr:uid="{455A6355-E5A2-4F56-9383-1348EC7D3F57}">
  <cacheSource type="external" connectionId="1"/>
  <cacheFields count="2">
    <cacheField name="[Maio].[Categorias].[Categorias]" caption="Categorias" numFmtId="0" hierarchy="12" level="1">
      <sharedItems count="1">
        <s v="Outros"/>
      </sharedItems>
    </cacheField>
    <cacheField name="[Measures].[Soma de Valor 3]" caption="Soma de Valor 3" numFmtId="0" hierarchy="49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2" memberValueDatatype="130" unbalanced="0">
      <fieldsUsage count="2">
        <fieldUsage x="-1"/>
        <fieldUsage x="0"/>
      </fieldsUsage>
    </cacheHierarchy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68402779" backgroundQuery="1" createdVersion="8" refreshedVersion="8" minRefreshableVersion="3" recordCount="0" supportSubquery="1" supportAdvancedDrill="1" xr:uid="{A5CB4095-0583-4BD3-A2F0-6C23F348C071}">
  <cacheSource type="external" connectionId="1"/>
  <cacheFields count="2">
    <cacheField name="[Junho].[Categorias].[Categorias]" caption="Categorias" numFmtId="0" hierarchy="10" level="1">
      <sharedItems count="1">
        <s v="Outros"/>
      </sharedItems>
    </cacheField>
    <cacheField name="[Measures].[Soma de Valor 2]" caption="Soma de Valor 2" numFmtId="0" hierarchy="48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2" memberValueDatatype="130" unbalanced="0">
      <fieldsUsage count="2">
        <fieldUsage x="-1"/>
        <fieldUsage x="0"/>
      </fieldsUsage>
    </cacheHierarchy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781372337966" backgroundQuery="1" createdVersion="8" refreshedVersion="8" minRefreshableVersion="3" recordCount="0" supportSubquery="1" supportAdvancedDrill="1" xr:uid="{7B96C25C-54C1-409C-BE4F-311B53AB125F}">
  <cacheSource type="external" connectionId="1"/>
  <cacheFields count="2">
    <cacheField name="[Julho].[Categorias].[Categorias]" caption="Categorias" numFmtId="0" hierarchy="8" level="1">
      <sharedItems count="1">
        <s v="Outros"/>
      </sharedItems>
    </cacheField>
    <cacheField name="[Measures].[Soma de Valor]" caption="Soma de Valor" numFmtId="0" hierarchy="47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2" memberValueDatatype="130" unbalanced="0">
      <fieldsUsage count="2">
        <fieldUsage x="-1"/>
        <fieldUsage x="0"/>
      </fieldsUsage>
    </cacheHierarchy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vo Intelectus" refreshedDate="45326.781381365741" createdVersion="8" refreshedVersion="8" minRefreshableVersion="3" recordCount="1" xr:uid="{FC47B8C9-A975-43F0-80B6-60ECF208F2AF}">
  <cacheSource type="worksheet">
    <worksheetSource name="Janeiro"/>
  </cacheSource>
  <cacheFields count="2">
    <cacheField name="Categorias" numFmtId="0">
      <sharedItems count="2">
        <s v="Outros"/>
        <s v="Cuidadora" u="1"/>
      </sharedItems>
    </cacheField>
    <cacheField name="Valor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vo Intelectus" refreshedDate="45326.781382175926" createdVersion="8" refreshedVersion="8" minRefreshableVersion="3" recordCount="1" xr:uid="{26376127-67B1-4B6F-BE0E-FE6E5A80C875}">
  <cacheSource type="worksheet">
    <worksheetSource name="Fevereiro"/>
  </cacheSource>
  <cacheFields count="2">
    <cacheField name="Categorias" numFmtId="0">
      <sharedItems count="2">
        <s v="Outros"/>
        <s v="Cuidadora" u="1"/>
      </sharedItems>
    </cacheField>
    <cacheField name="Valor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vo Intelectus" refreshedDate="45326.781382175926" createdVersion="8" refreshedVersion="8" minRefreshableVersion="3" recordCount="1" xr:uid="{F0E7E077-D347-4D46-92B6-FF4A75D691CF}">
  <cacheSource type="worksheet">
    <worksheetSource name="Março"/>
  </cacheSource>
  <cacheFields count="2">
    <cacheField name="Categorias" numFmtId="0">
      <sharedItems count="2">
        <s v="Outros"/>
        <s v="Cuidadora" u="1"/>
      </sharedItems>
    </cacheField>
    <cacheField name="Valor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vo Intelectus" refreshedDate="45326.781416666665" createdVersion="8" refreshedVersion="8" minRefreshableVersion="3" recordCount="1" xr:uid="{C57030F5-578B-4927-876B-25C6B300991B}">
  <cacheSource type="worksheet">
    <worksheetSource name="Abril"/>
  </cacheSource>
  <cacheFields count="2">
    <cacheField name="Categorias" numFmtId="0">
      <sharedItems containsBlank="1" count="4">
        <s v="Outros"/>
        <s v="I.R" u="1"/>
        <m u="1"/>
        <s v="Cuidadora" u="1"/>
      </sharedItems>
    </cacheField>
    <cacheField name="Valor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26.841121527781" backgroundQuery="1" createdVersion="8" refreshedVersion="8" minRefreshableVersion="3" recordCount="0" supportSubquery="1" supportAdvancedDrill="1" xr:uid="{624A9E6E-ADB6-4935-93CC-326A5004EF31}">
  <cacheSource type="external" connectionId="1"/>
  <cacheFields count="2">
    <cacheField name="[Dezembro].[Categorias].[Categorias]" caption="Categorias" numFmtId="0" hierarchy="2" level="1">
      <sharedItems count="2">
        <s v="Comida"/>
        <s v="Outros"/>
      </sharedItems>
    </cacheField>
    <cacheField name="[Measures].[Soma de Valor 8]" caption="Soma de Valor 8" numFmtId="0" hierarchy="55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0" memberValueDatatype="130" unbalanced="0"/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2" memberValueDatatype="130" unbalanced="0">
      <fieldsUsage count="2">
        <fieldUsage x="-1"/>
        <fieldUsage x="0"/>
      </fieldsUsage>
    </cacheHierarchy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vo Intelectus" refreshedDate="45326.842385532407" createdVersion="8" refreshedVersion="8" minRefreshableVersion="3" recordCount="4" xr:uid="{50639612-A151-4AD3-AF7E-DE6EADC749D8}">
  <cacheSource type="worksheet">
    <worksheetSource name="Totais"/>
  </cacheSource>
  <cacheFields count="14">
    <cacheField name="Categoria" numFmtId="0">
      <sharedItems count="4">
        <s v="Categoria"/>
        <s v="Comida"/>
        <s v="Outros"/>
        <s v="Total Geral"/>
      </sharedItems>
    </cacheField>
    <cacheField name="Total Abril" numFmtId="0">
      <sharedItems containsBlank="1" containsMixedTypes="1" containsNumber="1" containsInteger="1" minValue="0" maxValue="0"/>
    </cacheField>
    <cacheField name="Total Agosto" numFmtId="0">
      <sharedItems containsBlank="1" containsMixedTypes="1" containsNumber="1" containsInteger="1" minValue="0" maxValue="0"/>
    </cacheField>
    <cacheField name="Total Dezembro" numFmtId="0">
      <sharedItems containsMixedTypes="1" containsNumber="1" containsInteger="1" minValue="5" maxValue="15"/>
    </cacheField>
    <cacheField name="Total Fevereiro" numFmtId="0">
      <sharedItems containsBlank="1" containsMixedTypes="1" containsNumber="1" containsInteger="1" minValue="0" maxValue="0"/>
    </cacheField>
    <cacheField name="Total Janeiro" numFmtId="0">
      <sharedItems containsBlank="1" containsMixedTypes="1" containsNumber="1" containsInteger="1" minValue="0" maxValue="0"/>
    </cacheField>
    <cacheField name="Total Julho" numFmtId="0">
      <sharedItems containsBlank="1" containsMixedTypes="1" containsNumber="1" containsInteger="1" minValue="0" maxValue="0"/>
    </cacheField>
    <cacheField name="Total Junho" numFmtId="0">
      <sharedItems containsBlank="1" containsMixedTypes="1" containsNumber="1" containsInteger="1" minValue="0" maxValue="0"/>
    </cacheField>
    <cacheField name="Total Maio" numFmtId="0">
      <sharedItems containsBlank="1" containsMixedTypes="1" containsNumber="1" containsInteger="1" minValue="0" maxValue="0"/>
    </cacheField>
    <cacheField name="Total Março" numFmtId="0">
      <sharedItems containsBlank="1" containsMixedTypes="1" containsNumber="1" containsInteger="1" minValue="0" maxValue="0"/>
    </cacheField>
    <cacheField name="Total Novembro" numFmtId="0">
      <sharedItems containsBlank="1" containsMixedTypes="1" containsNumber="1" containsInteger="1" minValue="0" maxValue="0"/>
    </cacheField>
    <cacheField name="Total Outubro" numFmtId="0">
      <sharedItems containsBlank="1" containsMixedTypes="1" containsNumber="1" containsInteger="1" minValue="0" maxValue="0"/>
    </cacheField>
    <cacheField name="Total Setembro" numFmtId="0">
      <sharedItems containsBlank="1" containsMixedTypes="1" containsNumber="1" containsInteger="1" minValue="0" maxValue="0"/>
    </cacheField>
    <cacheField name="Total" numFmtId="164">
      <sharedItems containsBlank="1" containsMixedTypes="1" containsNumber="1" containsInteger="1" minValue="5" maxValue="10"/>
    </cacheField>
  </cacheFields>
  <extLst>
    <ext xmlns:x14="http://schemas.microsoft.com/office/spreadsheetml/2009/9/main" uri="{725AE2AE-9491-48be-B2B4-4EB974FC3084}">
      <x14:pivotCacheDefinition pivotCacheId="723885677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vo Intelectus" refreshedDate="45330.905917708333" backgroundQuery="1" createdVersion="8" refreshedVersion="8" minRefreshableVersion="3" recordCount="0" supportSubquery="1" supportAdvancedDrill="1" xr:uid="{CA7F2DA7-255A-4EC4-A3E7-4D1A9EC4C07B}">
  <cacheSource type="external" connectionId="1"/>
  <cacheFields count="2">
    <cacheField name="[Agosto].[Categorias].[Categorias]" caption="Categorias" numFmtId="0" level="1">
      <sharedItems count="1">
        <s v="Outros"/>
      </sharedItems>
    </cacheField>
    <cacheField name="[Measures].[Soma de Valor 4]" caption="Soma de Valor 4" numFmtId="0" hierarchy="50" level="32767"/>
  </cacheFields>
  <cacheHierarchies count="56">
    <cacheHierarchy uniqueName="[Agosto].[Categorias]" caption="Categorias" attribute="1" defaultMemberUniqueName="[Agosto].[Categorias].[All]" allUniqueName="[Agosto].[Categorias].[All]" dimensionUniqueName="[Agosto]" displayFolder="" count="2" memberValueDatatype="130" unbalanced="0">
      <fieldsUsage count="2">
        <fieldUsage x="-1"/>
        <fieldUsage x="0"/>
      </fieldsUsage>
    </cacheHierarchy>
    <cacheHierarchy uniqueName="[Agosto].[Valor]" caption="Valor" attribute="1" defaultMemberUniqueName="[Agosto].[Valor].[All]" allUniqueName="[Agosto].[Valor].[All]" dimensionUniqueName="[Agosto]" displayFolder="" count="0" memberValueDatatype="20" unbalanced="0"/>
    <cacheHierarchy uniqueName="[Dezembro].[Categorias]" caption="Categorias" attribute="1" defaultMemberUniqueName="[Dezembro].[Categorias].[All]" allUniqueName="[Dezembro].[Categorias].[All]" dimensionUniqueName="[Dezembro]" displayFolder="" count="0" memberValueDatatype="130" unbalanced="0"/>
    <cacheHierarchy uniqueName="[Dezembro].[Valor]" caption="Valor" attribute="1" defaultMemberUniqueName="[Dezembro].[Valor].[All]" allUniqueName="[Dezembro].[Valor].[All]" dimensionUniqueName="[Dezembro]" displayFolder="" count="0" memberValueDatatype="20" unbalanced="0"/>
    <cacheHierarchy uniqueName="[Intervalo].[Categoria]" caption="Categoria" attribute="1" defaultMemberUniqueName="[Intervalo].[Categoria].[All]" allUniqueName="[Intervalo].[Categoria].[All]" dimensionUniqueName="[Intervalo]" displayFolder="" count="0" memberValueDatatype="130" unbalanced="0"/>
    <cacheHierarchy uniqueName="[Intervalo].[Total Maio]" caption="Total Maio" attribute="1" defaultMemberUniqueName="[Intervalo].[Total Maio].[All]" allUniqueName="[Intervalo].[Total Maio].[All]" dimensionUniqueName="[Intervalo]" displayFolder="" count="0" memberValueDatatype="20" unbalanced="0"/>
    <cacheHierarchy uniqueName="[Janeiro].[Categorias]" caption="Categorias" attribute="1" defaultMemberUniqueName="[Janeiro].[Categorias].[All]" allUniqueName="[Janeiro].[Categorias].[All]" dimensionUniqueName="[Janeiro]" displayFolder="" count="0" memberValueDatatype="130" unbalanced="0"/>
    <cacheHierarchy uniqueName="[Janeiro].[Valor]" caption="Valor" attribute="1" defaultMemberUniqueName="[Janeiro].[Valor].[All]" allUniqueName="[Janeiro].[Valor].[All]" dimensionUniqueName="[Janeiro]" displayFolder="" count="0" memberValueDatatype="20" unbalanced="0"/>
    <cacheHierarchy uniqueName="[Julho].[Categorias]" caption="Categorias" attribute="1" defaultMemberUniqueName="[Julho].[Categorias].[All]" allUniqueName="[Julho].[Categorias].[All]" dimensionUniqueName="[Julho]" displayFolder="" count="0" memberValueDatatype="130" unbalanced="0"/>
    <cacheHierarchy uniqueName="[Julho].[Valor]" caption="Valor" attribute="1" defaultMemberUniqueName="[Julho].[Valor].[All]" allUniqueName="[Julho].[Valor].[All]" dimensionUniqueName="[Julho]" displayFolder="" count="0" memberValueDatatype="20" unbalanced="0"/>
    <cacheHierarchy uniqueName="[Junho].[Categorias]" caption="Categorias" attribute="1" defaultMemberUniqueName="[Junho].[Categorias].[All]" allUniqueName="[Junho].[Categorias].[All]" dimensionUniqueName="[Junho]" displayFolder="" count="0" memberValueDatatype="130" unbalanced="0"/>
    <cacheHierarchy uniqueName="[Junho].[Valor]" caption="Valor" attribute="1" defaultMemberUniqueName="[Junho].[Valor].[All]" allUniqueName="[Junho].[Valor].[All]" dimensionUniqueName="[Junho]" displayFolder="" count="0" memberValueDatatype="20" unbalanced="0"/>
    <cacheHierarchy uniqueName="[Maio].[Categorias]" caption="Categorias" attribute="1" defaultMemberUniqueName="[Maio].[Categorias].[All]" allUniqueName="[Maio].[Categorias].[All]" dimensionUniqueName="[Maio]" displayFolder="" count="0" memberValueDatatype="130" unbalanced="0"/>
    <cacheHierarchy uniqueName="[Maio].[Valor]" caption="Valor" attribute="1" defaultMemberUniqueName="[Maio].[Valor].[All]" allUniqueName="[Maio].[Valor].[All]" dimensionUniqueName="[Maio]" displayFolder="" count="0" memberValueDatatype="20" unbalanced="0"/>
    <cacheHierarchy uniqueName="[Novembro].[Categorias]" caption="Categorias" attribute="1" defaultMemberUniqueName="[Novembro].[Categorias].[All]" allUniqueName="[Novembro].[Categorias].[All]" dimensionUniqueName="[Novembro]" displayFolder="" count="0" memberValueDatatype="130" unbalanced="0"/>
    <cacheHierarchy uniqueName="[Novembro].[Valor]" caption="Valor" attribute="1" defaultMemberUniqueName="[Novembro].[Valor].[All]" allUniqueName="[Novembro].[Valor].[All]" dimensionUniqueName="[Novembro]" displayFolder="" count="0" memberValueDatatype="20" unbalanced="0"/>
    <cacheHierarchy uniqueName="[Outubro].[Categorias]" caption="Categorias" attribute="1" defaultMemberUniqueName="[Outubro].[Categorias].[All]" allUniqueName="[Outubro].[Categorias].[All]" dimensionUniqueName="[Outubro]" displayFolder="" count="0" memberValueDatatype="130" unbalanced="0"/>
    <cacheHierarchy uniqueName="[Outubro].[Valor]" caption="Valor" attribute="1" defaultMemberUniqueName="[Outubro].[Valor].[All]" allUniqueName="[Outubro].[Valor].[All]" dimensionUniqueName="[Outubro]" displayFolder="" count="0" memberValueDatatype="20" unbalanced="0"/>
    <cacheHierarchy uniqueName="[Setembro].[Categorias]" caption="Categorias" attribute="1" defaultMemberUniqueName="[Setembro].[Categorias].[All]" allUniqueName="[Setembro].[Categorias].[All]" dimensionUniqueName="[Setembro]" displayFolder="" count="0" memberValueDatatype="130" unbalanced="0"/>
    <cacheHierarchy uniqueName="[Setembro].[Valor]" caption="Valor" attribute="1" defaultMemberUniqueName="[Setembro].[Valor].[All]" allUniqueName="[Setembro].[Valor].[All]" dimensionUniqueName="[Setembro]" displayFolder="" count="0" memberValueDatatype="20" unbalanced="0"/>
    <cacheHierarchy uniqueName="[Tabela10].[Categorias]" caption="Categorias" attribute="1" defaultMemberUniqueName="[Tabela10].[Categorias].[All]" allUniqueName="[Tabela10].[Categorias].[All]" dimensionUniqueName="[Tabela10]" displayFolder="" count="0" memberValueDatatype="130" unbalanced="0"/>
    <cacheHierarchy uniqueName="[TabelaTotais].[Coluna1]" caption="Coluna1" attribute="1" defaultMemberUniqueName="[TabelaTotais].[Coluna1].[All]" allUniqueName="[TabelaTotais].[Coluna1].[All]" dimensionUniqueName="[TabelaTotais]" displayFolder="" count="0" memberValueDatatype="130" unbalanced="0"/>
    <cacheHierarchy uniqueName="[TabelaTotais].[Total Abril]" caption="Total Abril" attribute="1" defaultMemberUniqueName="[TabelaTotais].[Total Abril].[All]" allUniqueName="[TabelaTotais].[Total Abril].[All]" dimensionUniqueName="[TabelaTotais]" displayFolder="" count="0" memberValueDatatype="20" unbalanced="0"/>
    <cacheHierarchy uniqueName="[TabelaTotais].[Total Agosto]" caption="Total Agosto" attribute="1" defaultMemberUniqueName="[TabelaTotais].[Total Agosto].[All]" allUniqueName="[TabelaTotais].[Total Agosto].[All]" dimensionUniqueName="[TabelaTotais]" displayFolder="" count="0" memberValueDatatype="5" unbalanced="0"/>
    <cacheHierarchy uniqueName="[TabelaTotais].[Total Dezembro]" caption="Total Dezembro" attribute="1" defaultMemberUniqueName="[TabelaTotais].[Total Dezembro].[All]" allUniqueName="[TabelaTotais].[Total Dezembro].[All]" dimensionUniqueName="[TabelaTotais]" displayFolder="" count="0" memberValueDatatype="20" unbalanced="0"/>
    <cacheHierarchy uniqueName="[TabelaTotais].[Total Fevereiro]" caption="Total Fevereiro" attribute="1" defaultMemberUniqueName="[TabelaTotais].[Total Fevereiro].[All]" allUniqueName="[TabelaTotais].[Total Fevereiro].[All]" dimensionUniqueName="[TabelaTotais]" displayFolder="" count="0" memberValueDatatype="20" unbalanced="0"/>
    <cacheHierarchy uniqueName="[TabelaTotais].[Total Janeiro]" caption="Total Janeiro" attribute="1" defaultMemberUniqueName="[TabelaTotais].[Total Janeiro].[All]" allUniqueName="[TabelaTotais].[Total Janeiro].[All]" dimensionUniqueName="[TabelaTotais]" displayFolder="" count="0" memberValueDatatype="20" unbalanced="0"/>
    <cacheHierarchy uniqueName="[TabelaTotais].[Total Julho]" caption="Total Julho" attribute="1" defaultMemberUniqueName="[TabelaTotais].[Total Julho].[All]" allUniqueName="[TabelaTotais].[Total Julho].[All]" dimensionUniqueName="[TabelaTotais]" displayFolder="" count="0" memberValueDatatype="5" unbalanced="0"/>
    <cacheHierarchy uniqueName="[TabelaTotais].[Total Junho]" caption="Total Junho" attribute="1" defaultMemberUniqueName="[TabelaTotais].[Total Junho].[All]" allUniqueName="[TabelaTotais].[Total Junho].[All]" dimensionUniqueName="[TabelaTotais]" displayFolder="" count="0" memberValueDatatype="5" unbalanced="0"/>
    <cacheHierarchy uniqueName="[TabelaTotais].[Total Maio]" caption="Total Maio" attribute="1" defaultMemberUniqueName="[TabelaTotais].[Total Maio].[All]" allUniqueName="[TabelaTotais].[Total Maio].[All]" dimensionUniqueName="[TabelaTotais]" displayFolder="" count="0" memberValueDatatype="20" unbalanced="0"/>
    <cacheHierarchy uniqueName="[TabelaTotais].[Total Março]" caption="Total Março" attribute="1" defaultMemberUniqueName="[TabelaTotais].[Total Março].[All]" allUniqueName="[TabelaTotais].[Total Março].[All]" dimensionUniqueName="[TabelaTotais]" displayFolder="" count="0" memberValueDatatype="20" unbalanced="0"/>
    <cacheHierarchy uniqueName="[TabelaTotais].[Total Novembro]" caption="Total Novembro" attribute="1" defaultMemberUniqueName="[TabelaTotais].[Total Novembro].[All]" allUniqueName="[TabelaTotais].[Total Novembro].[All]" dimensionUniqueName="[TabelaTotais]" displayFolder="" count="0" memberValueDatatype="5" unbalanced="0"/>
    <cacheHierarchy uniqueName="[TabelaTotais].[Total Outubro]" caption="Total Outubro" attribute="1" defaultMemberUniqueName="[TabelaTotais].[Total Outubro].[All]" allUniqueName="[TabelaTotais].[Total Outubro].[All]" dimensionUniqueName="[TabelaTotais]" displayFolder="" count="0" memberValueDatatype="5" unbalanced="0"/>
    <cacheHierarchy uniqueName="[TabelaTotais].[Total Setembro]" caption="Total Setembro" attribute="1" defaultMemberUniqueName="[TabelaTotais].[Total Setembro].[All]" allUniqueName="[TabelaTotais].[Total Setembro].[All]" dimensionUniqueName="[TabelaTotais]" displayFolder="" count="0" memberValueDatatype="5" unbalanced="0"/>
    <cacheHierarchy uniqueName="[Measures].[__XL_Count Julho]" caption="__XL_Count Julho" measure="1" displayFolder="" measureGroup="Julho" count="0" hidden="1"/>
    <cacheHierarchy uniqueName="[Measures].[__XL_Count Agosto]" caption="__XL_Count Agosto" measure="1" displayFolder="" measureGroup="Agosto" count="0" hidden="1"/>
    <cacheHierarchy uniqueName="[Measures].[__XL_Count Junho]" caption="__XL_Count Junho" measure="1" displayFolder="" measureGroup="Junho" count="0" hidden="1"/>
    <cacheHierarchy uniqueName="[Measures].[__XL_Count Maio]" caption="__XL_Count Maio" measure="1" displayFolder="" measureGroup="Maio" count="0" hidden="1"/>
    <cacheHierarchy uniqueName="[Measures].[__XL_Count Setembro]" caption="__XL_Count Setembro" measure="1" displayFolder="" measureGroup="Setembro" count="0" hidden="1"/>
    <cacheHierarchy uniqueName="[Measures].[__XL_Count Outubro]" caption="__XL_Count Outubro" measure="1" displayFolder="" measureGroup="Outubro" count="0" hidden="1"/>
    <cacheHierarchy uniqueName="[Measures].[__XL_Count Novembro]" caption="__XL_Count Novembro" measure="1" displayFolder="" measureGroup="Novembro" count="0" hidden="1"/>
    <cacheHierarchy uniqueName="[Measures].[__XL_Count Dezembro]" caption="__XL_Count Dezembro" measure="1" displayFolder="" measureGroup="Dezembro" count="0" hidden="1"/>
    <cacheHierarchy uniqueName="[Measures].[__XL_Count Intervalo]" caption="__XL_Count Intervalo" measure="1" displayFolder="" measureGroup="Intervalo" count="0" hidden="1"/>
    <cacheHierarchy uniqueName="[Measures].[__XL_Count Janeiro]" caption="__XL_Count Janeiro" measure="1" displayFolder="" measureGroup="Janeiro" count="0" hidden="1"/>
    <cacheHierarchy uniqueName="[Measures].[__XL_Count Tabela10]" caption="__XL_Count Tabela10" measure="1" displayFolder="" measureGroup="Tabela10" count="0" hidden="1"/>
    <cacheHierarchy uniqueName="[Measures].[__XL_Count TabelaTotais]" caption="__XL_Count TabelaTotais" measure="1" displayFolder="" measureGroup="TabelaTotai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Julh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2]" caption="Soma de Valor 2" measure="1" displayFolder="" measureGroup="Junh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3]" caption="Soma de Valor 3" measure="1" displayFolder="" measureGroup="Mai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lor 4]" caption="Soma de Valor 4" measure="1" displayFolder="" measureGroup="Agost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Valor 5]" caption="Soma de Valor 5" measure="1" displayFolder="" measureGroup="Setembr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oma de Valor 6]" caption="Soma de Valor 6" measure="1" displayFolder="" measureGroup="Outubr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Valor 7]" caption="Soma de Valor 7" measure="1" displayFolder="" measureGroup="Novembro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Valor]" caption="Contagem de Valor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Valor 8]" caption="Soma de Valor 8" measure="1" displayFolder="" measureGroup="Dezembr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13">
    <dimension name="Agosto" uniqueName="[Agosto]" caption="Agosto"/>
    <dimension name="Dezembro" uniqueName="[Dezembro]" caption="Dezembro"/>
    <dimension name="Intervalo" uniqueName="[Intervalo]" caption="Intervalo"/>
    <dimension name="Janeiro" uniqueName="[Janeiro]" caption="Janeiro"/>
    <dimension name="Julho" uniqueName="[Julho]" caption="Julho"/>
    <dimension name="Junho" uniqueName="[Junho]" caption="Junho"/>
    <dimension name="Maio" uniqueName="[Maio]" caption="Maio"/>
    <dimension measure="1" name="Measures" uniqueName="[Measures]" caption="Measures"/>
    <dimension name="Novembro" uniqueName="[Novembro]" caption="Novembro"/>
    <dimension name="Outubro" uniqueName="[Outubro]" caption="Outubro"/>
    <dimension name="Setembro" uniqueName="[Setembro]" caption="Setembro"/>
    <dimension name="Tabela10" uniqueName="[Tabela10]" caption="Tabela10"/>
    <dimension name="TabelaTotais" uniqueName="[TabelaTotais]" caption="TabelaTotais"/>
  </dimensions>
  <measureGroups count="12">
    <measureGroup name="Agosto" caption="Agosto"/>
    <measureGroup name="Dezembro" caption="Dezembro"/>
    <measureGroup name="Intervalo" caption="Intervalo"/>
    <measureGroup name="Janeiro" caption="Janeiro"/>
    <measureGroup name="Julho" caption="Julho"/>
    <measureGroup name="Junho" caption="Junho"/>
    <measureGroup name="Maio" caption="Maio"/>
    <measureGroup name="Novembro" caption="Novembro"/>
    <measureGroup name="Outubro" caption="Outubro"/>
    <measureGroup name="Setembro" caption="Setembro"/>
    <measureGroup name="Tabela10" caption="Tabela10"/>
    <measureGroup name="TabelaTotais" caption="TabelaTotais"/>
  </measureGroups>
  <maps count="12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Total Abril"/>
    <s v="Total Agosto"/>
    <s v="Total Dezembro"/>
    <s v="Total Fevereiro"/>
    <s v="Total Janeiro"/>
    <s v="Total Julho"/>
    <s v="Total Junho"/>
    <s v="Total Maio"/>
    <s v="Total Março"/>
    <s v="Total Novembro"/>
    <s v="Total Outubro"/>
    <s v="Total Setembro"/>
    <s v="Total"/>
  </r>
  <r>
    <x v="1"/>
    <m/>
    <m/>
    <n v="5"/>
    <m/>
    <m/>
    <m/>
    <m/>
    <m/>
    <m/>
    <m/>
    <m/>
    <m/>
    <n v="5"/>
  </r>
  <r>
    <x v="2"/>
    <n v="0"/>
    <n v="0"/>
    <n v="10"/>
    <n v="0"/>
    <n v="0"/>
    <n v="0"/>
    <n v="0"/>
    <n v="0"/>
    <n v="0"/>
    <n v="0"/>
    <n v="0"/>
    <n v="0"/>
    <n v="10"/>
  </r>
  <r>
    <x v="3"/>
    <n v="0"/>
    <n v="0"/>
    <n v="15"/>
    <n v="0"/>
    <n v="0"/>
    <n v="0"/>
    <n v="0"/>
    <n v="0"/>
    <n v="0"/>
    <n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E502B1-4B14-4F2B-8FAD-AC9632079B5A}" name="Tabela dinâmica9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ia">
  <location ref="F1:G3" firstHeaderRow="1" firstDataRow="1" firstDataCol="1"/>
  <pivotFields count="2">
    <pivotField axis="axisRow" showAll="0">
      <items count="3">
        <item m="1" x="1"/>
        <item x="0"/>
        <item t="default"/>
      </items>
    </pivotField>
    <pivotField dataField="1" numFmtId="164" showAll="0"/>
  </pivotFields>
  <rowFields count="1">
    <field x="0"/>
  </rowFields>
  <rowItems count="2">
    <i>
      <x v="1"/>
    </i>
    <i t="grand">
      <x/>
    </i>
  </rowItems>
  <colItems count="1">
    <i/>
  </colItems>
  <dataFields count="1">
    <dataField name="Total Janeiro" fld="1" baseField="0" baseItem="0" numFmtId="164"/>
  </dataFields>
  <formats count="2">
    <format dxfId="171">
      <pivotArea outline="0" collapsedLevelsAreSubtotals="1" fieldPosition="0"/>
    </format>
    <format dxfId="17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D9BE2-8D26-43C0-9C73-1486D25BD088}" name="Totais Fevereiro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ia">
  <location ref="F1:G3" firstHeaderRow="1" firstDataRow="1" firstDataCol="1"/>
  <pivotFields count="2">
    <pivotField axis="axisRow" showAll="0">
      <items count="3">
        <item m="1" x="1"/>
        <item x="0"/>
        <item t="default"/>
      </items>
    </pivotField>
    <pivotField dataField="1" numFmtId="164" showAll="0"/>
  </pivotFields>
  <rowFields count="1">
    <field x="0"/>
  </rowFields>
  <rowItems count="2">
    <i>
      <x v="1"/>
    </i>
    <i t="grand">
      <x/>
    </i>
  </rowItems>
  <colItems count="1">
    <i/>
  </colItems>
  <dataFields count="1">
    <dataField name="Total Fevereiro" fld="1" baseField="0" baseItem="0" numFmtId="164"/>
  </dataFields>
  <formats count="2">
    <format dxfId="164">
      <pivotArea outline="0" collapsedLevelsAreSubtotals="1" fieldPosition="0"/>
    </format>
    <format dxfId="16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E495AF-A69B-4303-A98E-C491BA38E82B}" name="Totais Março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ia">
  <location ref="F1:G3" firstHeaderRow="1" firstDataRow="1" firstDataCol="1"/>
  <pivotFields count="2">
    <pivotField axis="axisRow" showAll="0">
      <items count="3">
        <item m="1" x="1"/>
        <item x="0"/>
        <item t="default"/>
      </items>
    </pivotField>
    <pivotField dataField="1" numFmtId="164" showAll="0"/>
  </pivotFields>
  <rowFields count="1">
    <field x="0"/>
  </rowFields>
  <rowItems count="2">
    <i>
      <x v="1"/>
    </i>
    <i t="grand">
      <x/>
    </i>
  </rowItems>
  <colItems count="1">
    <i/>
  </colItems>
  <dataFields count="1">
    <dataField name="Total Março" fld="1" baseField="0" baseItem="0" numFmtId="164"/>
  </dataFields>
  <formats count="2">
    <format dxfId="157">
      <pivotArea outline="0" collapsedLevelsAreSubtotals="1" fieldPosition="0"/>
    </format>
    <format dxfId="15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F24432-0C80-426B-A256-5A093DE601DB}" name="Totais Abril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ia">
  <location ref="F1:G3" firstHeaderRow="1" firstDataRow="1" firstDataCol="1"/>
  <pivotFields count="2">
    <pivotField axis="axisRow" showAll="0">
      <items count="5">
        <item m="1" x="3"/>
        <item m="1" x="2"/>
        <item m="1" x="1"/>
        <item x="0"/>
        <item t="default"/>
      </items>
    </pivotField>
    <pivotField dataField="1" numFmtId="164" showAll="0"/>
  </pivotFields>
  <rowFields count="1">
    <field x="0"/>
  </rowFields>
  <rowItems count="2">
    <i>
      <x v="3"/>
    </i>
    <i t="grand">
      <x/>
    </i>
  </rowItems>
  <colItems count="1">
    <i/>
  </colItems>
  <dataFields count="1">
    <dataField name="Total Abril" fld="1" baseField="0" baseItem="0" numFmtId="164"/>
  </dataFields>
  <formats count="2">
    <format dxfId="150">
      <pivotArea outline="0" collapsedLevelsAreSubtotals="1" fieldPosition="0"/>
    </format>
    <format dxfId="14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F2567-C2A5-4F81-ACB3-F5DC6F0A81C7}" name="Totais Maio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Maio" fld="1" baseField="0" baseItem="0"/>
  </dataFields>
  <formats count="8"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grandRow="1" outline="0" fieldPosition="0"/>
    </format>
    <format dxfId="140">
      <pivotArea dataOnly="0" labelOnly="1" outline="0" axis="axisValues" fieldPosition="0"/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dataOnly="0" labelOnly="1" grandRow="1" outline="0" fieldPosition="0"/>
    </format>
    <format dxfId="136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nho]"/>
        <x15:activeTabTopLevelEntity name="[Ma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CC7633-9DB5-45C8-89FB-AA31CC0EBE3F}" name="Totais Junho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Junho" fld="1" baseField="0" baseItem="0" numFmtId="164"/>
  </dataFields>
  <formats count="12"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dataOnly="0" labelOnly="1" outline="0" axis="axisValues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0" type="button" dataOnly="0" labelOnly="1" outline="0" axis="axisRow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grandRow="1" outline="0" fieldPosition="0"/>
    </format>
    <format dxfId="119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nh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DDCFDE-9BD4-42C4-895A-BBE261175388}" name="Totais Julho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Julho" fld="1" baseField="0" baseItem="0" numFmtId="164"/>
  </dataFields>
  <formats count="12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0" type="button" dataOnly="0" labelOnly="1" outline="0" axis="axisRow" fieldPosition="0"/>
    </format>
    <format dxfId="110">
      <pivotArea dataOnly="0" labelOnly="1" fieldPosition="0">
        <references count="1">
          <reference field="0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Julh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C2814-44BE-496E-BA7E-B1A4D522C097}" name="Totais Agosto" cacheId="1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Agosto" fld="1" baseField="0" baseItem="0"/>
  </dataFields>
  <formats count="8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grandRow="1" outline="0" fieldPosition="0"/>
    </format>
    <format dxfId="89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68A65-BD8A-4072-A57E-87CD600925C4}" name="Totais Setembro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Setembro" fld="1" baseField="0" baseItem="0"/>
  </dataFields>
  <formats count="8"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grandRow="1" outline="0" fieldPosition="0"/>
    </format>
    <format dxfId="79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  <x15:activeTabTopLevelEntity name="[Setemb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4F7C6-E861-48BB-928F-047247D97904}" name="Totais Outubro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Outubro" fld="1" baseField="0" baseItem="0"/>
  </dataFields>
  <formats count="8"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labelOnly="1" grandRow="1" outline="0" fieldPosition="0"/>
    </format>
    <format dxfId="73">
      <pivotArea dataOnly="0" labelOnly="1" outline="0" axis="axisValues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grandRow="1" outline="0" fieldPosition="0"/>
    </format>
    <format dxfId="69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  <x15:activeTabTopLevelEntity name="[Setembro]"/>
        <x15:activeTabTopLevelEntity name="[Outub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D339C-FDC6-4E21-A74A-23D47CC7B98F}" name="Totais Novembro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3" firstHeaderRow="1" firstDataRow="1" firstDataCol="1"/>
  <pivotFields count="2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Total Novembro" fld="1" baseField="0" baseItem="0"/>
  </dataFields>
  <formats count="8"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  <x15:activeTabTopLevelEntity name="[Setembro]"/>
        <x15:activeTabTopLevelEntity name="[Outubro]"/>
        <x15:activeTabTopLevelEntity name="[Novemb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392EB-E7DB-4070-B02D-5C0AEC9EFC58}" name="tabdezembro" cacheId="1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Categoria">
  <location ref="F1:G4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Total Dezembro" fld="1" baseField="0" baseItem="0"/>
  </dataFields>
  <formats count="8"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dataOnly="0" labelOnly="1" grandRow="1" outline="0" fieldPosition="0"/>
    </format>
    <format dxfId="43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lho]"/>
        <x15:activeTabTopLevelEntity name="[Agosto]"/>
        <x15:activeTabTopLevelEntity name="[Setembro]"/>
        <x15:activeTabTopLevelEntity name="[Outubro]"/>
        <x15:activeTabTopLevelEntity name="[Novembro]"/>
        <x15:activeTabTopLevelEntity name="[Dezemb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28BFD5-04CE-4683-B4F5-2239E1826CCC}" name="total_categoria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ia">
  <location ref="A2:B7" firstHeaderRow="1" firstDataRow="1" firstDataCol="1"/>
  <pivotFields count="14">
    <pivotField axis="axisRow" showAll="0" sortType="ascending">
      <items count="5">
        <item x="0"/>
        <item x="2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5">
    <i>
      <x/>
    </i>
    <i>
      <x v="2"/>
    </i>
    <i>
      <x v="3"/>
    </i>
    <i>
      <x v="1"/>
    </i>
    <i t="grand">
      <x/>
    </i>
  </rowItems>
  <colItems count="1">
    <i/>
  </colItems>
  <dataFields count="1">
    <dataField name="Valor" fld="13" baseField="0" baseItem="0" numFmtId="164"/>
  </dataFields>
  <formats count="9"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dataOnly="0" labelOnly="1" grandRow="1" outline="0" fieldPosition="0"/>
    </format>
    <format dxfId="36">
      <pivotArea collapsedLevelsAreSubtotals="1" fieldPosition="0">
        <references count="1">
          <reference field="0" count="0"/>
        </references>
      </pivotArea>
    </format>
    <format dxfId="35">
      <pivotArea dataOnly="0" labelOnly="1" fieldPosition="0">
        <references count="1">
          <reference field="0" count="0"/>
        </references>
      </pivotArea>
    </format>
    <format dxfId="34">
      <pivotArea grandRow="1" outline="0" collapsedLevelsAreSubtotals="1" fieldPosition="0"/>
    </format>
    <format dxfId="33">
      <pivotArea grandRow="1" outline="0" collapsedLevelsAreSubtotals="1" fieldPosition="0"/>
    </format>
    <format dxfId="32">
      <pivotArea dataOnly="0" labelOnly="1" outline="0" axis="axisValues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D19B342F-FBD2-4032-80EC-86D3A77F816F}" sourceName="Categoria">
  <pivotTables>
    <pivotTable tabId="29" name="total_categoria"/>
  </pivotTables>
  <data>
    <tabular pivotCacheId="723885677" showMissing="0" crossFilter="none">
      <items count="4">
        <i x="0" s="1"/>
        <i x="1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7179FC2C-E3E8-4702-BDC1-2133F61691DF}" sourceName="Categoria">
  <extLst>
    <x:ext xmlns:x15="http://schemas.microsoft.com/office/spreadsheetml/2010/11/main" uri="{2F2917AC-EB37-4324-AD4E-5DD8C200BD13}">
      <x15:tableSlicerCache tableId="17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gmentacao_categoria" xr10:uid="{000D6D42-90BD-4521-944A-094137A3E3A8}" cache="SegmentaçãodeDados_Categoria1" caption="Categoria" columnCount="7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3B78F14F-2F1C-4930-88AE-846B1F40ED08}" cache="SegmentaçãodeDados_Categoria" caption="Categoria" columnCount="10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431EF8-6526-4FEB-8D34-DADEAB3F7947}" name="Janeiro" displayName="Janeiro" ref="A1:B2" totalsRowShown="0" headerRowBorderDxfId="169" tableBorderDxfId="168" totalsRowBorderDxfId="167">
  <autoFilter ref="A1:B2" xr:uid="{76431EF8-6526-4FEB-8D34-DADEAB3F7947}"/>
  <tableColumns count="2">
    <tableColumn id="1" xr3:uid="{1BF358D5-ECF4-4BD6-AA90-FBE27DA23B79}" name="Categorias" dataDxfId="166"/>
    <tableColumn id="2" xr3:uid="{64035C9D-3DF3-45C2-9F31-033B0372BFC6}" name="Valor" dataDxfId="165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79BF4C-68AD-4F46-A14B-D5CF34510393}" name="Fevereiro" displayName="Fevereiro" ref="A1:B2" totalsRowShown="0" headerRowBorderDxfId="162" tableBorderDxfId="161" totalsRowBorderDxfId="160">
  <autoFilter ref="A1:B2" xr:uid="{2079BF4C-68AD-4F46-A14B-D5CF34510393}"/>
  <tableColumns count="2">
    <tableColumn id="1" xr3:uid="{A4A7F6D9-71E2-4047-8989-DD2D2A60B3F3}" name="Categorias" dataDxfId="159"/>
    <tableColumn id="2" xr3:uid="{DD935CAA-5F72-41D7-BDC6-66BB7F013085}" name="Valor" dataDxfId="158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88C10DF-A83E-4AFB-83CF-DD373144F4FE}" name="Março" displayName="Março" ref="A1:B2" totalsRowShown="0" headerRowBorderDxfId="155" tableBorderDxfId="154" totalsRowBorderDxfId="153">
  <autoFilter ref="A1:B2" xr:uid="{188C10DF-A83E-4AFB-83CF-DD373144F4FE}"/>
  <tableColumns count="2">
    <tableColumn id="1" xr3:uid="{1F25BA82-42A8-418A-B9DD-537724D8C1E3}" name="Categorias" dataDxfId="152"/>
    <tableColumn id="2" xr3:uid="{CAF3CBA0-13EF-4267-83DA-A94C675F6A9F}" name="Valor" dataDxfId="15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9C29DF3-66C4-460F-9989-F696D6E2081B}" name="Abril" displayName="Abril" ref="A1:B2" totalsRowShown="0" headerRowBorderDxfId="148" tableBorderDxfId="147" totalsRowBorderDxfId="146">
  <autoFilter ref="A1:B2" xr:uid="{C9C29DF3-66C4-460F-9989-F696D6E2081B}"/>
  <tableColumns count="2">
    <tableColumn id="1" xr3:uid="{B4F582BE-30E5-4F20-A291-AF78B0854E37}" name="Categorias" dataDxfId="145"/>
    <tableColumn id="2" xr3:uid="{A6FCCD79-7459-4CB7-A841-5B10536D3C16}" name="Valor" dataDxfId="144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861FB8-A28B-49E7-9698-B0887E02159E}" name="Maio" displayName="Maio" ref="A1:B2" totalsRowShown="0" headerRowBorderDxfId="135" tableBorderDxfId="134" totalsRowBorderDxfId="133">
  <autoFilter ref="A1:B2" xr:uid="{83861FB8-A28B-49E7-9698-B0887E02159E}"/>
  <tableColumns count="2">
    <tableColumn id="1" xr3:uid="{CA81A5F3-D856-470E-816B-513345E063FE}" name="Categorias" dataDxfId="132"/>
    <tableColumn id="2" xr3:uid="{E24E48AC-7D54-44BC-B5D8-9C164165DE33}" name="Valor" dataDxfId="131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07434E-9AFC-4CE0-8554-4451ED24E576}" name="Junho" displayName="Junho" ref="A1:B2" totalsRowShown="0" headerRowBorderDxfId="118" tableBorderDxfId="117" totalsRowBorderDxfId="116">
  <autoFilter ref="A1:B2" xr:uid="{EE07434E-9AFC-4CE0-8554-4451ED24E576}"/>
  <tableColumns count="2">
    <tableColumn id="1" xr3:uid="{0AC6BF1B-C180-4887-A557-572A3A93B835}" name="Categorias" dataDxfId="115"/>
    <tableColumn id="2" xr3:uid="{EC71229F-FA36-4AF8-B492-9D1F139E8098}" name="Valor" dataDxfId="114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1A072A-402F-4956-9ADC-20E3009C6B1E}" name="Julho" displayName="Julho" ref="A1:B2" totalsRowShown="0" headerRowBorderDxfId="101" tableBorderDxfId="100" totalsRowBorderDxfId="99">
  <autoFilter ref="A1:B2" xr:uid="{3F1A072A-402F-4956-9ADC-20E3009C6B1E}"/>
  <tableColumns count="2">
    <tableColumn id="1" xr3:uid="{DF28A900-B195-4181-8D96-0CCBFB06F86A}" name="Categorias" dataDxfId="98"/>
    <tableColumn id="2" xr3:uid="{24334B4F-F6FD-4678-A3A4-C962CCBF20E4}" name="Valor" dataDxfId="97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7ED127-55EA-4B24-AB85-D00E02F2B047}" name="Agosto" displayName="Agosto" ref="A1:B2" totalsRowShown="0" tableBorderDxfId="88">
  <autoFilter ref="A1:B2" xr:uid="{4F7ED127-55EA-4B24-AB85-D00E02F2B047}"/>
  <tableColumns count="2">
    <tableColumn id="1" xr3:uid="{9ADF641F-7CD5-4025-A7F8-2FD869531DB0}" name="Categorias"/>
    <tableColumn id="2" xr3:uid="{30FB3FF5-8FFC-452B-8588-7477402DEDC2}" name="Valor" dataDxfId="87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438ED0-F93B-4022-8528-EA794618F847}" name="Setembro" displayName="Setembro" ref="A1:B2" totalsRowShown="0" tableBorderDxfId="78">
  <autoFilter ref="A1:B2" xr:uid="{D5438ED0-F93B-4022-8528-EA794618F847}"/>
  <tableColumns count="2">
    <tableColumn id="1" xr3:uid="{92277B6E-578D-4980-9365-F532F9DAB98D}" name="Categorias"/>
    <tableColumn id="2" xr3:uid="{1F274B66-A1E6-4898-8B50-502135D3BE44}" name="Valor" dataDxfId="77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1E18449-924B-40F3-A31B-D0E993401A80}" name="Outubro" displayName="Outubro" ref="A1:B2" totalsRowShown="0" headerRowBorderDxfId="68" tableBorderDxfId="67" totalsRowBorderDxfId="66">
  <autoFilter ref="A1:B2" xr:uid="{F1E18449-924B-40F3-A31B-D0E993401A80}"/>
  <tableColumns count="2">
    <tableColumn id="1" xr3:uid="{31E9F523-B237-432D-9E68-8B55ACEF41F4}" name="Categorias" dataDxfId="65"/>
    <tableColumn id="2" xr3:uid="{B23417AA-7B98-432A-A423-72008673171D}" name="Valor" dataDxfId="64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BC79B-0C53-4EA5-9245-181125853A92}" name="Novembro" displayName="Novembro" ref="A1:B2" totalsRowShown="0" headerRowBorderDxfId="55" tableBorderDxfId="54" totalsRowBorderDxfId="53">
  <autoFilter ref="A1:B2" xr:uid="{E93BC79B-0C53-4EA5-9245-181125853A92}"/>
  <tableColumns count="2">
    <tableColumn id="1" xr3:uid="{299384A5-79F9-4A6B-81DB-18AA2C26B9CF}" name="Categorias" dataDxfId="52"/>
    <tableColumn id="2" xr3:uid="{1B090E07-C51C-4AF7-9E0F-F1EEE77EB7C4}" name="Valor" dataDxfId="51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81E81C-2968-46BF-B524-F703A7039998}" name="Dezembro" displayName="Dezembro" ref="A1:B3" totalsRowShown="0">
  <autoFilter ref="A1:B3" xr:uid="{5B81E81C-2968-46BF-B524-F703A7039998}"/>
  <tableColumns count="2">
    <tableColumn id="1" xr3:uid="{B0799078-B32D-47DA-BF06-A1BE5A98A9B0}" name="Categorias"/>
    <tableColumn id="2" xr3:uid="{B657323E-C82E-4D89-B4A2-236CE273C7B2}" name="Valor" dataDxfId="42"/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3DDCA75-4065-4DC4-B0AC-E7AFB8187D5F}" name="Categorias" displayName="Categorias" ref="A1:A16" totalsRowShown="0" dataDxfId="41">
  <autoFilter ref="A1:A16" xr:uid="{93DDCA75-4065-4DC4-B0AC-E7AFB8187D5F}"/>
  <tableColumns count="1">
    <tableColumn id="1" xr3:uid="{2DB4479B-F6D4-49DD-A2E6-CD2416C7F6AD}" name="Categorias" dataDxfId="40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52281E-7203-4D8F-BFE3-B76D632803C2}" name="total_mes" displayName="total_mes" ref="D20:F32" totalsRowShown="0" headerRowDxfId="30" headerRowBorderDxfId="29" tableBorderDxfId="28" totalsRowBorderDxfId="27">
  <autoFilter ref="D20:F32" xr:uid="{E152281E-7203-4D8F-BFE3-B76D632803C2}"/>
  <tableColumns count="3">
    <tableColumn id="1" xr3:uid="{7938D7A7-D985-4ECB-BF15-1E87FA3B735E}" name="Mês" dataDxfId="26"/>
    <tableColumn id="2" xr3:uid="{A08BB039-A46D-48A7-8F76-8B76A3F598E0}" name="Valor Total" dataDxfId="25"/>
    <tableColumn id="4" xr3:uid="{A34D05B1-6C9A-4773-B066-6919174FE8E9}" name="Valor Filtrado" dataDxfId="24"/>
  </tableColumns>
  <tableStyleInfo name="TableStyleMedium2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2018901-3E23-4511-97C8-A03CB68AC3B7}" name="Totais" displayName="Totais" ref="B1:O5" totalsRowShown="0">
  <autoFilter ref="B1:O5" xr:uid="{D2018901-3E23-4511-97C8-A03CB68AC3B7}"/>
  <tableColumns count="14">
    <tableColumn id="1" xr3:uid="{1868BC47-64EA-4E26-9FB9-EC2D17D57756}" name="Categoria"/>
    <tableColumn id="2" xr3:uid="{14F678C5-482B-4A06-99CB-122BCDE22E48}" name="Total Abril"/>
    <tableColumn id="3" xr3:uid="{6FA03C7D-3C3F-4AA3-AC9B-F8C9360C4355}" name="Total Agosto"/>
    <tableColumn id="4" xr3:uid="{19F0A9F4-B180-49BD-87AB-D663EE39E98B}" name="Total Dezembro"/>
    <tableColumn id="5" xr3:uid="{150AE92A-E501-405A-B713-B74DBC29C748}" name="Total Fevereiro"/>
    <tableColumn id="6" xr3:uid="{929CB161-C080-4368-8B3B-5E641AB1D356}" name="Total Janeiro"/>
    <tableColumn id="7" xr3:uid="{D9EF1E2F-43FF-4A93-AF26-327A8B7B63CF}" name="Total Julho"/>
    <tableColumn id="8" xr3:uid="{219B9318-4E6E-4A77-A5EC-008D0264204A}" name="Total Junho"/>
    <tableColumn id="9" xr3:uid="{AED6F0F1-0DDF-4ABD-BD24-7418B4A9C677}" name="Total Maio"/>
    <tableColumn id="10" xr3:uid="{23853C11-7F4A-4A1D-8678-664B55A1FD9A}" name="Total Março"/>
    <tableColumn id="11" xr3:uid="{95406645-CF95-4FD6-ABB0-22F080F4B635}" name="Total Novembro"/>
    <tableColumn id="12" xr3:uid="{06E25711-00EF-42AC-8CFE-4B3F41345661}" name="Total Outubro"/>
    <tableColumn id="13" xr3:uid="{DEC2F154-8D10-41CE-8894-D4C36E38C1DB}" name="Total Setembro"/>
    <tableColumn id="14" xr3:uid="{9A87C761-52C3-47DF-AE85-5F9134AC6509}" name="Total" dataDxfId="23"/>
  </tableColumns>
  <tableStyleInfo name="TableStyleMedium2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CCD0A8-E5C6-40AC-8A0A-B346F76044FD}" name="Totais263031101710" displayName="Totais263031101710" ref="B1:O25" totalsRowCount="1" headerRowDxfId="22">
  <autoFilter ref="B1:O24" xr:uid="{2C38478A-2F66-410F-B6E7-EBECBD50D939}">
    <filterColumn colId="0">
      <filters>
        <filter val="Abs geriatrico"/>
        <filter val="Ap.pressao"/>
        <filter val="Categorias"/>
        <filter val="Colchão"/>
        <filter val="Cuidadora"/>
        <filter val="Curatela"/>
        <filter val="Exame"/>
        <filter val="Farmácia"/>
        <filter val="Fisio"/>
        <filter val="Fono"/>
        <filter val="Fraldas"/>
        <filter val="Guincho"/>
        <filter val="Lençol"/>
        <filter val="Lenços higiênicos"/>
        <filter val="Pedra rampa"/>
        <filter val="Pisante porta"/>
        <filter val="Produtos limpeza"/>
        <filter val="Prontuário"/>
        <filter val="Roupa de cama"/>
        <filter val="Secadora de roupa"/>
      </filters>
    </filterColumn>
  </autoFilter>
  <tableColumns count="14">
    <tableColumn id="1" xr3:uid="{B7979DFB-7C8E-4CEC-A96A-A21FCD4C40E9}" name="Categorias" totalsRowLabel="Total"/>
    <tableColumn id="2" xr3:uid="{532C3C11-D6E8-41C0-BFCA-F6736AC357A0}" name="Total Abril" totalsRowFunction="sum" totalsRowDxfId="21"/>
    <tableColumn id="3" xr3:uid="{EC1449CF-07A4-43C6-AE28-61E2C310DE4B}" name="Total Agosto" totalsRowFunction="sum" totalsRowDxfId="20"/>
    <tableColumn id="4" xr3:uid="{A61C2931-22AD-4A4C-A474-BA9342698BD8}" name="Total Dezembro" totalsRowFunction="sum" totalsRowDxfId="19"/>
    <tableColumn id="5" xr3:uid="{11B8ACA5-6403-4A24-95DA-40DF6D10BEA5}" name="Total Fevereiro" totalsRowFunction="sum" totalsRowDxfId="18"/>
    <tableColumn id="6" xr3:uid="{51B4C74C-3BA1-4336-9A8B-E698F988F222}" name="Total Janeiro" totalsRowFunction="sum" totalsRowDxfId="17"/>
    <tableColumn id="7" xr3:uid="{E67DD89A-0058-4A5D-B1CE-9248CC023CD4}" name="Total Julho" totalsRowFunction="sum" totalsRowDxfId="16"/>
    <tableColumn id="8" xr3:uid="{6789ED0D-02D6-404E-8687-C4607C4F850C}" name="Total Junho" totalsRowFunction="sum" dataDxfId="15" totalsRowDxfId="14"/>
    <tableColumn id="9" xr3:uid="{24CC0E5E-20AF-4DD4-B158-00B362F9A441}" name="Total Maio" totalsRowFunction="sum" totalsRowDxfId="13"/>
    <tableColumn id="10" xr3:uid="{185E19B8-C416-4BFF-BC51-1C3BA7F55AC4}" name="Total Março" totalsRowFunction="sum" totalsRowDxfId="12"/>
    <tableColumn id="11" xr3:uid="{1A1EC290-85A5-4CD3-9F89-225C85F8056B}" name="Total Novembro" totalsRowFunction="sum" totalsRowDxfId="11"/>
    <tableColumn id="12" xr3:uid="{1F2CF011-19C7-42C1-8537-7B748377A2F9}" name="Total Outubro" totalsRowFunction="sum" totalsRowDxfId="10"/>
    <tableColumn id="13" xr3:uid="{BD3BEB65-B401-4A8A-9F68-8F0FA10FEDED}" name="Total Setembro" totalsRowFunction="sum" totalsRowDxfId="9"/>
    <tableColumn id="14" xr3:uid="{0856129A-5E70-40F3-B0C5-B4044F16302B}" name="Total" totalsRowFunction="sum" totalsRowDxfId="8"/>
  </tableColumns>
  <tableStyleInfo name="TableStyleMedium23" showFirstColumn="0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3.xml"/><Relationship Id="rId4" Type="http://schemas.microsoft.com/office/2007/relationships/slicer" Target="../slicers/slicer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07/relationships/slicer" Target="../slicers/slicer2.xml"/><Relationship Id="rId4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69655-1A52-4357-A2D3-EED3047EAE1B}">
  <sheetPr codeName="Planilha1"/>
  <dimension ref="A1:G3"/>
  <sheetViews>
    <sheetView workbookViewId="0">
      <selection activeCell="H13" sqref="H13"/>
    </sheetView>
  </sheetViews>
  <sheetFormatPr defaultRowHeight="14.4" x14ac:dyDescent="0.3"/>
  <cols>
    <col min="1" max="1" width="17.88671875" customWidth="1"/>
    <col min="2" max="2" width="17.109375" customWidth="1"/>
    <col min="4" max="4" width="13.21875" customWidth="1"/>
    <col min="6" max="6" width="11.21875" bestFit="1" customWidth="1"/>
    <col min="7" max="7" width="11.6640625" bestFit="1" customWidth="1"/>
  </cols>
  <sheetData>
    <row r="1" spans="1:7" x14ac:dyDescent="0.3">
      <c r="A1" s="3" t="s">
        <v>4</v>
      </c>
      <c r="B1" s="4" t="s">
        <v>2</v>
      </c>
      <c r="D1" s="14" t="s">
        <v>0</v>
      </c>
      <c r="E1" s="13"/>
      <c r="F1" s="10" t="s">
        <v>1</v>
      </c>
      <c r="G1" s="5" t="s">
        <v>34</v>
      </c>
    </row>
    <row r="2" spans="1:7" x14ac:dyDescent="0.3">
      <c r="A2" t="s">
        <v>47</v>
      </c>
      <c r="B2" s="2">
        <v>0</v>
      </c>
      <c r="D2" s="15">
        <f>SUM(B:B)</f>
        <v>0</v>
      </c>
      <c r="E2" s="13"/>
      <c r="F2" s="11" t="s">
        <v>47</v>
      </c>
      <c r="G2" s="5">
        <v>0</v>
      </c>
    </row>
    <row r="3" spans="1:7" x14ac:dyDescent="0.3">
      <c r="D3" s="13"/>
      <c r="E3" s="13"/>
      <c r="F3" s="11" t="s">
        <v>3</v>
      </c>
      <c r="G3" s="5">
        <v>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06F91F-BFAB-4F94-8803-B01F90576377}">
          <x14:formula1>
            <xm:f>'Categorias'!$A:$A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CA426-D2F2-4410-808A-BEB2EA37DDA8}">
  <sheetPr codeName="Planilha2"/>
  <dimension ref="A1:G3"/>
  <sheetViews>
    <sheetView workbookViewId="0">
      <selection activeCell="A3" sqref="A3"/>
    </sheetView>
  </sheetViews>
  <sheetFormatPr defaultRowHeight="14.4" x14ac:dyDescent="0.3"/>
  <cols>
    <col min="1" max="1" width="20" customWidth="1"/>
    <col min="2" max="2" width="15.33203125" customWidth="1"/>
    <col min="4" max="4" width="13.44140625" customWidth="1"/>
    <col min="6" max="6" width="11.21875" bestFit="1" customWidth="1"/>
    <col min="7" max="7" width="13.5546875" bestFit="1" customWidth="1"/>
  </cols>
  <sheetData>
    <row r="1" spans="1:7" x14ac:dyDescent="0.3">
      <c r="A1" s="3" t="s">
        <v>4</v>
      </c>
      <c r="B1" s="4" t="s">
        <v>2</v>
      </c>
      <c r="D1" s="14" t="s">
        <v>0</v>
      </c>
      <c r="E1" s="13"/>
      <c r="F1" s="10" t="s">
        <v>1</v>
      </c>
      <c r="G1" s="5" t="s">
        <v>35</v>
      </c>
    </row>
    <row r="2" spans="1:7" x14ac:dyDescent="0.3">
      <c r="A2" t="s">
        <v>47</v>
      </c>
      <c r="B2" s="2">
        <v>0</v>
      </c>
      <c r="D2" s="15">
        <f>SUM(B:B)</f>
        <v>0</v>
      </c>
      <c r="E2" s="13"/>
      <c r="F2" s="11" t="s">
        <v>47</v>
      </c>
      <c r="G2" s="5">
        <v>0</v>
      </c>
    </row>
    <row r="3" spans="1:7" x14ac:dyDescent="0.3">
      <c r="D3" s="13"/>
      <c r="E3" s="13"/>
      <c r="F3" s="11" t="s">
        <v>3</v>
      </c>
      <c r="G3" s="5">
        <v>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1CBC7-4A37-4741-8B1E-E4E24950FE16}">
          <x14:formula1>
            <xm:f>'Categorias'!$A:$A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A6C3-674F-4E63-A125-EB66461530E1}">
  <sheetPr codeName="Planilha3"/>
  <dimension ref="A1:G3"/>
  <sheetViews>
    <sheetView workbookViewId="0">
      <selection activeCell="A3" sqref="A3"/>
    </sheetView>
  </sheetViews>
  <sheetFormatPr defaultRowHeight="14.4" x14ac:dyDescent="0.3"/>
  <cols>
    <col min="1" max="1" width="17.109375" customWidth="1"/>
    <col min="2" max="2" width="16.33203125" customWidth="1"/>
    <col min="4" max="4" width="11.88671875" customWidth="1"/>
    <col min="6" max="6" width="11.21875" bestFit="1" customWidth="1"/>
    <col min="7" max="7" width="11.109375" bestFit="1" customWidth="1"/>
  </cols>
  <sheetData>
    <row r="1" spans="1:7" x14ac:dyDescent="0.3">
      <c r="A1" s="3" t="s">
        <v>4</v>
      </c>
      <c r="B1" s="4" t="s">
        <v>2</v>
      </c>
      <c r="D1" s="14" t="s">
        <v>0</v>
      </c>
      <c r="E1" s="13"/>
      <c r="F1" s="10" t="s">
        <v>1</v>
      </c>
      <c r="G1" s="5" t="s">
        <v>43</v>
      </c>
    </row>
    <row r="2" spans="1:7" x14ac:dyDescent="0.3">
      <c r="A2" t="s">
        <v>47</v>
      </c>
      <c r="B2" s="2">
        <v>0</v>
      </c>
      <c r="D2" s="15">
        <f>SUM(B:B)</f>
        <v>0</v>
      </c>
      <c r="E2" s="13"/>
      <c r="F2" s="11" t="s">
        <v>47</v>
      </c>
      <c r="G2" s="5">
        <v>0</v>
      </c>
    </row>
    <row r="3" spans="1:7" x14ac:dyDescent="0.3">
      <c r="D3" s="13"/>
      <c r="E3" s="13"/>
      <c r="F3" s="11" t="s">
        <v>3</v>
      </c>
      <c r="G3" s="5">
        <v>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A47D49-A7A9-4E36-96CC-1E1D8EF6140C}">
          <x14:formula1>
            <xm:f>'Categorias'!$A:$A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5EB89-92CF-4518-8D5B-0ABB30BCFAD6}">
  <sheetPr codeName="Planilha4"/>
  <dimension ref="A1:G3"/>
  <sheetViews>
    <sheetView workbookViewId="0">
      <selection activeCell="B7" sqref="B7"/>
    </sheetView>
  </sheetViews>
  <sheetFormatPr defaultRowHeight="14.4" x14ac:dyDescent="0.3"/>
  <cols>
    <col min="1" max="1" width="19" customWidth="1"/>
    <col min="2" max="2" width="16.88671875" customWidth="1"/>
    <col min="4" max="4" width="13.21875" customWidth="1"/>
    <col min="6" max="6" width="11.21875" bestFit="1" customWidth="1"/>
    <col min="7" max="7" width="9.5546875" bestFit="1" customWidth="1"/>
  </cols>
  <sheetData>
    <row r="1" spans="1:7" x14ac:dyDescent="0.3">
      <c r="A1" s="3" t="s">
        <v>4</v>
      </c>
      <c r="B1" s="4" t="s">
        <v>2</v>
      </c>
      <c r="D1" s="14" t="s">
        <v>0</v>
      </c>
      <c r="E1" s="13"/>
      <c r="F1" s="10" t="s">
        <v>1</v>
      </c>
      <c r="G1" s="5" t="s">
        <v>44</v>
      </c>
    </row>
    <row r="2" spans="1:7" x14ac:dyDescent="0.3">
      <c r="A2" t="s">
        <v>47</v>
      </c>
      <c r="B2" s="2">
        <v>0</v>
      </c>
      <c r="D2" s="15">
        <f>SUM(B:B)</f>
        <v>0</v>
      </c>
      <c r="E2" s="13"/>
      <c r="F2" s="11" t="s">
        <v>47</v>
      </c>
      <c r="G2" s="5">
        <v>0</v>
      </c>
    </row>
    <row r="3" spans="1:7" x14ac:dyDescent="0.3">
      <c r="D3" s="13"/>
      <c r="E3" s="13"/>
      <c r="F3" s="11" t="s">
        <v>3</v>
      </c>
      <c r="G3" s="5">
        <v>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C59834-9BE2-4C0B-8788-CFE996CCD7CE}">
          <x14:formula1>
            <xm:f>'Categorias'!$A:$A</xm:f>
          </x14:formula1>
          <xm:sqref>A1:A2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D924A-77F2-4CA0-97B8-6BF2586BD3C1}">
  <sheetPr codeName="Planilha5"/>
  <dimension ref="A1:G6"/>
  <sheetViews>
    <sheetView workbookViewId="0">
      <selection activeCell="A3" sqref="A3"/>
    </sheetView>
  </sheetViews>
  <sheetFormatPr defaultRowHeight="14.4" x14ac:dyDescent="0.3"/>
  <cols>
    <col min="1" max="1" width="16.88671875" bestFit="1" customWidth="1"/>
    <col min="2" max="2" width="12.88671875" bestFit="1" customWidth="1"/>
    <col min="3" max="3" width="10.33203125" customWidth="1"/>
    <col min="4" max="4" width="17.21875" customWidth="1"/>
    <col min="5" max="5" width="10.33203125" bestFit="1" customWidth="1"/>
    <col min="6" max="6" width="11.21875" bestFit="1" customWidth="1"/>
    <col min="7" max="7" width="10" bestFit="1" customWidth="1"/>
    <col min="8" max="8" width="12.88671875" bestFit="1" customWidth="1"/>
  </cols>
  <sheetData>
    <row r="1" spans="1:7" x14ac:dyDescent="0.3">
      <c r="A1" s="3" t="s">
        <v>4</v>
      </c>
      <c r="B1" s="4" t="s">
        <v>2</v>
      </c>
      <c r="C1" s="5"/>
      <c r="D1" s="14" t="s">
        <v>0</v>
      </c>
      <c r="E1" s="13"/>
      <c r="F1" s="6" t="s">
        <v>1</v>
      </c>
      <c r="G1" s="1" t="s">
        <v>42</v>
      </c>
    </row>
    <row r="2" spans="1:7" x14ac:dyDescent="0.3">
      <c r="A2" t="s">
        <v>47</v>
      </c>
      <c r="B2" s="2">
        <v>0</v>
      </c>
      <c r="C2" s="5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5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DE6EF-024D-4587-8E82-860747ED4DBC}">
          <x14:formula1>
            <xm:f>'Categorias'!$A:$A</xm:f>
          </x14:formula1>
          <xm:sqref>A1:A2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A6ADB-3E55-4F13-A828-19CE418A458B}">
  <sheetPr codeName="Planilha6"/>
  <dimension ref="A1:G26"/>
  <sheetViews>
    <sheetView workbookViewId="0">
      <selection activeCell="B3" sqref="B3"/>
    </sheetView>
  </sheetViews>
  <sheetFormatPr defaultRowHeight="14.4" x14ac:dyDescent="0.3"/>
  <cols>
    <col min="1" max="1" width="17.6640625" bestFit="1" customWidth="1"/>
    <col min="2" max="2" width="10.33203125" bestFit="1" customWidth="1"/>
    <col min="3" max="3" width="10.33203125" customWidth="1"/>
    <col min="4" max="4" width="14.44140625" customWidth="1"/>
    <col min="6" max="6" width="11.21875" bestFit="1" customWidth="1"/>
    <col min="7" max="7" width="10.77734375" bestFit="1" customWidth="1"/>
  </cols>
  <sheetData>
    <row r="1" spans="1:7" x14ac:dyDescent="0.3">
      <c r="A1" s="3" t="s">
        <v>4</v>
      </c>
      <c r="B1" s="4" t="s">
        <v>2</v>
      </c>
      <c r="C1" s="5"/>
      <c r="D1" s="14" t="s">
        <v>0</v>
      </c>
      <c r="E1" s="13"/>
      <c r="F1" s="6" t="s">
        <v>1</v>
      </c>
      <c r="G1" s="1" t="s">
        <v>45</v>
      </c>
    </row>
    <row r="2" spans="1:7" x14ac:dyDescent="0.3">
      <c r="A2" t="s">
        <v>47</v>
      </c>
      <c r="B2" s="2">
        <v>0</v>
      </c>
      <c r="C2" s="5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5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  <row r="18" spans="3:3" x14ac:dyDescent="0.3">
      <c r="C18" s="5"/>
    </row>
    <row r="19" spans="3:3" x14ac:dyDescent="0.3">
      <c r="C19" s="5"/>
    </row>
    <row r="20" spans="3:3" x14ac:dyDescent="0.3">
      <c r="C20" s="5"/>
    </row>
    <row r="21" spans="3:3" x14ac:dyDescent="0.3">
      <c r="C21" s="5"/>
    </row>
    <row r="22" spans="3:3" x14ac:dyDescent="0.3">
      <c r="C22" s="5"/>
    </row>
    <row r="23" spans="3:3" x14ac:dyDescent="0.3">
      <c r="C23" s="5"/>
    </row>
    <row r="24" spans="3:3" x14ac:dyDescent="0.3">
      <c r="C24" s="5"/>
    </row>
    <row r="25" spans="3:3" x14ac:dyDescent="0.3">
      <c r="C25" s="5"/>
    </row>
    <row r="26" spans="3:3" x14ac:dyDescent="0.3">
      <c r="C26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DB8AF4-2333-4F8B-BC3D-B1D184A6D476}">
          <x14:formula1>
            <xm:f>'Categorias'!$A:$A</xm:f>
          </x14:formula1>
          <xm:sqref>A1:A2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00957-73FF-42A8-BB44-C5D6C03E6B93}">
  <sheetPr codeName="Planilha7"/>
  <dimension ref="A1:G18"/>
  <sheetViews>
    <sheetView workbookViewId="0">
      <selection activeCell="C14" sqref="C14"/>
    </sheetView>
  </sheetViews>
  <sheetFormatPr defaultRowHeight="14.4" x14ac:dyDescent="0.3"/>
  <cols>
    <col min="1" max="1" width="14.77734375" style="9" bestFit="1" customWidth="1"/>
    <col min="2" max="2" width="10.33203125" bestFit="1" customWidth="1"/>
    <col min="3" max="3" width="10.33203125" customWidth="1"/>
    <col min="4" max="4" width="15.88671875" customWidth="1"/>
    <col min="5" max="5" width="10.33203125" bestFit="1" customWidth="1"/>
    <col min="6" max="6" width="11.21875" bestFit="1" customWidth="1"/>
    <col min="7" max="7" width="10.109375" bestFit="1" customWidth="1"/>
    <col min="8" max="8" width="12.88671875" bestFit="1" customWidth="1"/>
  </cols>
  <sheetData>
    <row r="1" spans="1:7" x14ac:dyDescent="0.3">
      <c r="A1" s="8" t="s">
        <v>4</v>
      </c>
      <c r="B1" s="4" t="s">
        <v>2</v>
      </c>
      <c r="C1" s="5"/>
      <c r="D1" s="14" t="s">
        <v>0</v>
      </c>
      <c r="E1" s="13"/>
      <c r="F1" s="6" t="s">
        <v>1</v>
      </c>
      <c r="G1" s="1" t="s">
        <v>36</v>
      </c>
    </row>
    <row r="2" spans="1:7" x14ac:dyDescent="0.3">
      <c r="A2" t="s">
        <v>47</v>
      </c>
      <c r="B2" s="2">
        <v>0</v>
      </c>
      <c r="C2" s="5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5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  <row r="18" spans="3:3" x14ac:dyDescent="0.3">
      <c r="C18" s="5"/>
    </row>
  </sheetData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457692-E6E3-4E84-A894-1FF0EB678551}">
          <x14:formula1>
            <xm:f>'Categorias'!$A:$A</xm:f>
          </x14:formula1>
          <xm:sqref>A1:A2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A694F-A9BE-4A8D-8393-4A50CAD79DA8}">
  <sheetPr codeName="Planilha8"/>
  <dimension ref="A1:G19"/>
  <sheetViews>
    <sheetView workbookViewId="0">
      <selection activeCell="B3" sqref="B3"/>
    </sheetView>
  </sheetViews>
  <sheetFormatPr defaultRowHeight="14.4" x14ac:dyDescent="0.3"/>
  <cols>
    <col min="1" max="1" width="16.88671875" customWidth="1"/>
    <col min="2" max="2" width="10.33203125" bestFit="1" customWidth="1"/>
    <col min="3" max="3" width="10.33203125" customWidth="1"/>
    <col min="4" max="4" width="18.77734375" customWidth="1"/>
    <col min="6" max="6" width="11.21875" bestFit="1" customWidth="1"/>
    <col min="7" max="7" width="11.5546875" bestFit="1" customWidth="1"/>
  </cols>
  <sheetData>
    <row r="1" spans="1:7" x14ac:dyDescent="0.3">
      <c r="A1" t="s">
        <v>4</v>
      </c>
      <c r="B1" s="2" t="s">
        <v>2</v>
      </c>
      <c r="C1" s="5"/>
      <c r="D1" s="14" t="s">
        <v>0</v>
      </c>
      <c r="E1" s="13"/>
      <c r="F1" s="6" t="s">
        <v>1</v>
      </c>
      <c r="G1" s="1" t="s">
        <v>37</v>
      </c>
    </row>
    <row r="2" spans="1:7" x14ac:dyDescent="0.3">
      <c r="A2" t="s">
        <v>47</v>
      </c>
      <c r="B2" s="2">
        <v>0</v>
      </c>
      <c r="C2" s="5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5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  <row r="18" spans="3:3" x14ac:dyDescent="0.3">
      <c r="C18" s="5"/>
    </row>
    <row r="19" spans="3:3" x14ac:dyDescent="0.3">
      <c r="C19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0074F-A434-4AD2-893D-B15C26328E96}">
          <x14:formula1>
            <xm:f>'Categorias'!$A:$A</xm:f>
          </x14:formula1>
          <xm:sqref>A1:A2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BFA5-9359-43B7-A25F-60F4582AE02B}">
  <sheetPr codeName="Planilha9"/>
  <dimension ref="A1:G17"/>
  <sheetViews>
    <sheetView workbookViewId="0">
      <selection activeCell="A3" sqref="A3"/>
    </sheetView>
  </sheetViews>
  <sheetFormatPr defaultRowHeight="14.4" x14ac:dyDescent="0.3"/>
  <cols>
    <col min="1" max="1" width="14.77734375" bestFit="1" customWidth="1"/>
    <col min="2" max="2" width="10.33203125" bestFit="1" customWidth="1"/>
    <col min="3" max="3" width="10.33203125" customWidth="1"/>
    <col min="4" max="4" width="15.109375" customWidth="1"/>
    <col min="6" max="6" width="11.21875" bestFit="1" customWidth="1"/>
    <col min="7" max="7" width="14" bestFit="1" customWidth="1"/>
  </cols>
  <sheetData>
    <row r="1" spans="1:7" x14ac:dyDescent="0.3">
      <c r="A1" t="s">
        <v>4</v>
      </c>
      <c r="B1" s="2" t="s">
        <v>2</v>
      </c>
      <c r="C1" s="5"/>
      <c r="D1" s="14" t="s">
        <v>0</v>
      </c>
      <c r="E1" s="13"/>
      <c r="F1" s="6" t="s">
        <v>1</v>
      </c>
      <c r="G1" s="1" t="s">
        <v>38</v>
      </c>
    </row>
    <row r="2" spans="1:7" x14ac:dyDescent="0.3">
      <c r="A2" t="s">
        <v>47</v>
      </c>
      <c r="B2" s="2">
        <v>0</v>
      </c>
      <c r="C2" s="5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5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958E3C-553D-44F6-A747-A0F35D80CE9E}">
          <x14:formula1>
            <xm:f>'Categorias'!$A:$A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40F55-28F2-4E10-B8D7-C8FA64C68FBE}">
  <sheetPr codeName="Planilha10"/>
  <dimension ref="A1:G17"/>
  <sheetViews>
    <sheetView workbookViewId="0">
      <selection activeCell="B3" sqref="B3"/>
    </sheetView>
  </sheetViews>
  <sheetFormatPr defaultRowHeight="14.4" x14ac:dyDescent="0.3"/>
  <cols>
    <col min="1" max="1" width="14.77734375" bestFit="1" customWidth="1"/>
    <col min="2" max="2" width="10.33203125" bestFit="1" customWidth="1"/>
    <col min="3" max="3" width="10.33203125" customWidth="1"/>
    <col min="4" max="4" width="15.44140625" customWidth="1"/>
    <col min="6" max="6" width="11.21875" bestFit="1" customWidth="1"/>
    <col min="7" max="7" width="12.77734375" bestFit="1" customWidth="1"/>
    <col min="8" max="8" width="12.88671875" bestFit="1" customWidth="1"/>
  </cols>
  <sheetData>
    <row r="1" spans="1:7" x14ac:dyDescent="0.3">
      <c r="A1" s="3" t="s">
        <v>4</v>
      </c>
      <c r="B1" s="4" t="s">
        <v>2</v>
      </c>
      <c r="C1" s="13"/>
      <c r="D1" s="14" t="s">
        <v>0</v>
      </c>
      <c r="E1" s="13"/>
      <c r="F1" s="6" t="s">
        <v>1</v>
      </c>
      <c r="G1" s="1" t="s">
        <v>39</v>
      </c>
    </row>
    <row r="2" spans="1:7" x14ac:dyDescent="0.3">
      <c r="A2" t="s">
        <v>47</v>
      </c>
      <c r="B2" s="2">
        <v>0</v>
      </c>
      <c r="C2" s="13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13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F5314E-3CEA-42CC-B123-10DAC47ADC00}">
          <x14:formula1>
            <xm:f>'Categorias'!$A:$A</xm:f>
          </x14:formula1>
          <xm:sqref>A1:A2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A3420-09A4-42D7-85F8-63667D71AABF}">
  <sheetPr codeName="Planilha11"/>
  <dimension ref="A1:G19"/>
  <sheetViews>
    <sheetView workbookViewId="0">
      <selection activeCell="B3" sqref="B3"/>
    </sheetView>
  </sheetViews>
  <sheetFormatPr defaultRowHeight="14.4" x14ac:dyDescent="0.3"/>
  <cols>
    <col min="1" max="1" width="16.33203125" customWidth="1"/>
    <col min="2" max="2" width="12.5546875" bestFit="1" customWidth="1"/>
    <col min="3" max="3" width="10.33203125" customWidth="1"/>
    <col min="4" max="4" width="16.44140625" customWidth="1"/>
    <col min="5" max="5" width="10.33203125" bestFit="1" customWidth="1"/>
    <col min="6" max="6" width="11.21875" bestFit="1" customWidth="1"/>
    <col min="7" max="7" width="14.77734375" bestFit="1" customWidth="1"/>
    <col min="8" max="8" width="12.88671875" bestFit="1" customWidth="1"/>
  </cols>
  <sheetData>
    <row r="1" spans="1:7" x14ac:dyDescent="0.3">
      <c r="A1" s="3" t="s">
        <v>4</v>
      </c>
      <c r="B1" s="4" t="s">
        <v>2</v>
      </c>
      <c r="C1" s="13"/>
      <c r="D1" s="14" t="s">
        <v>0</v>
      </c>
      <c r="E1" s="13"/>
      <c r="F1" s="6" t="s">
        <v>1</v>
      </c>
      <c r="G1" s="1" t="s">
        <v>40</v>
      </c>
    </row>
    <row r="2" spans="1:7" x14ac:dyDescent="0.3">
      <c r="A2" t="s">
        <v>47</v>
      </c>
      <c r="B2" s="2">
        <v>0</v>
      </c>
      <c r="C2" s="13"/>
      <c r="D2" s="15">
        <f>SUM(B:B)</f>
        <v>0</v>
      </c>
      <c r="E2" s="13"/>
      <c r="F2" s="7" t="s">
        <v>47</v>
      </c>
      <c r="G2" s="1">
        <v>0</v>
      </c>
    </row>
    <row r="3" spans="1:7" x14ac:dyDescent="0.3">
      <c r="C3" s="13"/>
      <c r="D3" s="13"/>
      <c r="E3" s="13"/>
      <c r="F3" s="7" t="s">
        <v>3</v>
      </c>
      <c r="G3" s="1">
        <v>0</v>
      </c>
    </row>
    <row r="4" spans="1:7" x14ac:dyDescent="0.3">
      <c r="C4" s="5"/>
    </row>
    <row r="5" spans="1:7" x14ac:dyDescent="0.3">
      <c r="C5" s="5"/>
    </row>
    <row r="6" spans="1:7" x14ac:dyDescent="0.3">
      <c r="C6" s="5"/>
    </row>
    <row r="7" spans="1:7" x14ac:dyDescent="0.3">
      <c r="C7" s="5"/>
    </row>
    <row r="8" spans="1:7" x14ac:dyDescent="0.3">
      <c r="C8" s="5"/>
    </row>
    <row r="9" spans="1:7" x14ac:dyDescent="0.3">
      <c r="C9" s="5"/>
    </row>
    <row r="10" spans="1:7" x14ac:dyDescent="0.3">
      <c r="C10" s="5"/>
    </row>
    <row r="11" spans="1:7" x14ac:dyDescent="0.3">
      <c r="C11" s="5"/>
    </row>
    <row r="12" spans="1:7" x14ac:dyDescent="0.3">
      <c r="C12" s="5"/>
    </row>
    <row r="13" spans="1:7" x14ac:dyDescent="0.3">
      <c r="C13" s="5"/>
    </row>
    <row r="14" spans="1:7" x14ac:dyDescent="0.3">
      <c r="C14" s="5"/>
    </row>
    <row r="15" spans="1:7" x14ac:dyDescent="0.3">
      <c r="C15" s="5"/>
    </row>
    <row r="16" spans="1:7" x14ac:dyDescent="0.3">
      <c r="C16" s="5"/>
    </row>
    <row r="17" spans="3:3" x14ac:dyDescent="0.3">
      <c r="C17" s="5"/>
    </row>
    <row r="18" spans="3:3" x14ac:dyDescent="0.3">
      <c r="C18" s="5"/>
    </row>
    <row r="19" spans="3:3" x14ac:dyDescent="0.3">
      <c r="C19" s="5"/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72FA4B-6508-410F-AD21-B2F5EFCBD1F9}">
          <x14:formula1>
            <xm:f>'Categorias'!$A:$A</xm:f>
          </x14:formula1>
          <xm:sqref>A1:A2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11F9-D401-465A-AF08-F4F861B13811}">
  <sheetPr codeName="Planilha12"/>
  <dimension ref="A1:G4"/>
  <sheetViews>
    <sheetView workbookViewId="0">
      <selection activeCell="F2" sqref="F2"/>
    </sheetView>
  </sheetViews>
  <sheetFormatPr defaultRowHeight="14.4" x14ac:dyDescent="0.3"/>
  <cols>
    <col min="1" max="1" width="11" bestFit="1" customWidth="1"/>
    <col min="2" max="2" width="11.5546875" bestFit="1" customWidth="1"/>
    <col min="4" max="4" width="11.88671875" customWidth="1"/>
    <col min="6" max="6" width="11.21875" bestFit="1" customWidth="1"/>
    <col min="7" max="7" width="14.33203125" bestFit="1" customWidth="1"/>
  </cols>
  <sheetData>
    <row r="1" spans="1:7" x14ac:dyDescent="0.3">
      <c r="A1" t="s">
        <v>4</v>
      </c>
      <c r="B1" t="s">
        <v>2</v>
      </c>
      <c r="C1" s="13"/>
      <c r="D1" s="14" t="s">
        <v>0</v>
      </c>
      <c r="E1" s="13"/>
      <c r="F1" s="6" t="s">
        <v>1</v>
      </c>
      <c r="G1" s="1" t="s">
        <v>41</v>
      </c>
    </row>
    <row r="2" spans="1:7" x14ac:dyDescent="0.3">
      <c r="A2" t="s">
        <v>23</v>
      </c>
      <c r="B2" s="5">
        <v>5</v>
      </c>
      <c r="C2" s="13"/>
      <c r="D2" s="15">
        <f>SUM(B:B)</f>
        <v>15</v>
      </c>
      <c r="E2" s="13"/>
      <c r="F2" s="7" t="s">
        <v>23</v>
      </c>
      <c r="G2" s="1">
        <v>5</v>
      </c>
    </row>
    <row r="3" spans="1:7" x14ac:dyDescent="0.3">
      <c r="A3" t="s">
        <v>47</v>
      </c>
      <c r="B3" s="5">
        <v>10</v>
      </c>
      <c r="C3" s="13"/>
      <c r="D3" s="13"/>
      <c r="E3" s="13"/>
      <c r="F3" s="7" t="s">
        <v>47</v>
      </c>
      <c r="G3" s="1">
        <v>10</v>
      </c>
    </row>
    <row r="4" spans="1:7" x14ac:dyDescent="0.3">
      <c r="F4" s="7" t="s">
        <v>3</v>
      </c>
      <c r="G4" s="1">
        <v>15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76839C-1C30-4320-9E87-9811C456DD9C}">
          <x14:formula1>
            <xm:f>'Categorias'!$A:$A</xm:f>
          </x14:formula1>
          <xm:sqref>A1:A3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59272-EAC1-4878-A9E1-A2664A475C66}">
  <sheetPr codeName="Planilha13"/>
  <dimension ref="A1:A16"/>
  <sheetViews>
    <sheetView tabSelected="1" workbookViewId="0">
      <selection activeCell="C15" sqref="C15"/>
    </sheetView>
  </sheetViews>
  <sheetFormatPr defaultRowHeight="14.4" x14ac:dyDescent="0.3"/>
  <cols>
    <col min="1" max="1" width="20" customWidth="1"/>
  </cols>
  <sheetData>
    <row r="1" spans="1:1" x14ac:dyDescent="0.3">
      <c r="A1" t="s">
        <v>4</v>
      </c>
    </row>
    <row r="2" spans="1:1" x14ac:dyDescent="0.3">
      <c r="A2" s="12" t="s">
        <v>11</v>
      </c>
    </row>
    <row r="3" spans="1:1" x14ac:dyDescent="0.3">
      <c r="A3" s="12" t="s">
        <v>12</v>
      </c>
    </row>
    <row r="4" spans="1:1" x14ac:dyDescent="0.3">
      <c r="A4" s="12" t="s">
        <v>13</v>
      </c>
    </row>
    <row r="5" spans="1:1" x14ac:dyDescent="0.3">
      <c r="A5" s="12" t="s">
        <v>27</v>
      </c>
    </row>
    <row r="6" spans="1:1" x14ac:dyDescent="0.3">
      <c r="A6" s="12" t="s">
        <v>19</v>
      </c>
    </row>
    <row r="7" spans="1:1" x14ac:dyDescent="0.3">
      <c r="A7" s="12" t="s">
        <v>23</v>
      </c>
    </row>
    <row r="8" spans="1:1" x14ac:dyDescent="0.3">
      <c r="A8" s="12" t="s">
        <v>24</v>
      </c>
    </row>
    <row r="9" spans="1:1" x14ac:dyDescent="0.3">
      <c r="A9" s="12" t="s">
        <v>25</v>
      </c>
    </row>
    <row r="10" spans="1:1" x14ac:dyDescent="0.3">
      <c r="A10" s="12" t="s">
        <v>28</v>
      </c>
    </row>
    <row r="11" spans="1:1" x14ac:dyDescent="0.3">
      <c r="A11" s="12" t="s">
        <v>29</v>
      </c>
    </row>
    <row r="12" spans="1:1" x14ac:dyDescent="0.3">
      <c r="A12" s="12" t="s">
        <v>30</v>
      </c>
    </row>
    <row r="13" spans="1:1" x14ac:dyDescent="0.3">
      <c r="A13" s="12" t="s">
        <v>31</v>
      </c>
    </row>
    <row r="14" spans="1:1" x14ac:dyDescent="0.3">
      <c r="A14" s="12" t="s">
        <v>32</v>
      </c>
    </row>
    <row r="15" spans="1:1" x14ac:dyDescent="0.3">
      <c r="A15" s="12" t="s">
        <v>33</v>
      </c>
    </row>
    <row r="16" spans="1:1" x14ac:dyDescent="0.3">
      <c r="A16" s="1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97B7-DB4A-426A-AC21-290B14393263}">
  <sheetPr codeName="Planilha15"/>
  <dimension ref="A1:F32"/>
  <sheetViews>
    <sheetView workbookViewId="0">
      <selection activeCell="E7" sqref="E7"/>
    </sheetView>
  </sheetViews>
  <sheetFormatPr defaultRowHeight="14.4" x14ac:dyDescent="0.3"/>
  <cols>
    <col min="1" max="1" width="11.21875" bestFit="1" customWidth="1"/>
    <col min="2" max="2" width="8.109375" style="5" bestFit="1" customWidth="1"/>
    <col min="3" max="3" width="13.109375" style="5" customWidth="1"/>
    <col min="4" max="4" width="14.6640625" customWidth="1"/>
    <col min="5" max="5" width="14.88671875" customWidth="1"/>
    <col min="6" max="6" width="21.5546875" bestFit="1" customWidth="1"/>
    <col min="7" max="7" width="19.109375" bestFit="1" customWidth="1"/>
    <col min="8" max="8" width="17.5546875" bestFit="1" customWidth="1"/>
    <col min="9" max="9" width="18" bestFit="1" customWidth="1"/>
    <col min="10" max="10" width="18.77734375" bestFit="1" customWidth="1"/>
    <col min="11" max="11" width="18.109375" bestFit="1" customWidth="1"/>
    <col min="12" max="12" width="19.5546875" bestFit="1" customWidth="1"/>
    <col min="13" max="13" width="22" bestFit="1" customWidth="1"/>
    <col min="14" max="14" width="20.77734375" bestFit="1" customWidth="1"/>
    <col min="15" max="15" width="22.77734375" bestFit="1" customWidth="1"/>
    <col min="16" max="16" width="22.33203125" bestFit="1" customWidth="1"/>
    <col min="17" max="17" width="7" bestFit="1" customWidth="1"/>
    <col min="18" max="18" width="9.6640625" bestFit="1" customWidth="1"/>
    <col min="19" max="19" width="7" bestFit="1" customWidth="1"/>
    <col min="20" max="20" width="9.6640625" bestFit="1" customWidth="1"/>
    <col min="21" max="21" width="9" bestFit="1" customWidth="1"/>
    <col min="22" max="22" width="5" bestFit="1" customWidth="1"/>
    <col min="23" max="23" width="11.21875" bestFit="1" customWidth="1"/>
    <col min="24" max="24" width="16.77734375" bestFit="1" customWidth="1"/>
    <col min="25" max="25" width="19.5546875" bestFit="1" customWidth="1"/>
    <col min="26" max="26" width="8.6640625" bestFit="1" customWidth="1"/>
    <col min="27" max="27" width="11.33203125" bestFit="1" customWidth="1"/>
    <col min="28" max="28" width="10" bestFit="1" customWidth="1"/>
    <col min="29" max="29" width="17.6640625" bestFit="1" customWidth="1"/>
    <col min="30" max="30" width="8.6640625" bestFit="1" customWidth="1"/>
    <col min="31" max="31" width="7.6640625" bestFit="1" customWidth="1"/>
    <col min="32" max="32" width="6.6640625" bestFit="1" customWidth="1"/>
    <col min="33" max="34" width="8.6640625" bestFit="1" customWidth="1"/>
    <col min="35" max="36" width="11.33203125" bestFit="1" customWidth="1"/>
    <col min="37" max="37" width="10" bestFit="1" customWidth="1"/>
    <col min="38" max="38" width="16.77734375" bestFit="1" customWidth="1"/>
    <col min="39" max="39" width="19.5546875" bestFit="1" customWidth="1"/>
    <col min="40" max="40" width="17.6640625" bestFit="1" customWidth="1"/>
    <col min="41" max="41" width="18.77734375" bestFit="1" customWidth="1"/>
    <col min="42" max="42" width="9" bestFit="1" customWidth="1"/>
    <col min="43" max="43" width="11.21875" bestFit="1" customWidth="1"/>
    <col min="44" max="44" width="7.6640625" bestFit="1" customWidth="1"/>
    <col min="45" max="45" width="8.6640625" bestFit="1" customWidth="1"/>
    <col min="46" max="46" width="7.6640625" bestFit="1" customWidth="1"/>
    <col min="47" max="47" width="6.6640625" bestFit="1" customWidth="1"/>
    <col min="48" max="49" width="8.6640625" bestFit="1" customWidth="1"/>
    <col min="50" max="52" width="11.33203125" bestFit="1" customWidth="1"/>
    <col min="53" max="53" width="10" bestFit="1" customWidth="1"/>
    <col min="54" max="54" width="11.21875" bestFit="1" customWidth="1"/>
    <col min="55" max="55" width="7.6640625" bestFit="1" customWidth="1"/>
    <col min="56" max="56" width="8.6640625" bestFit="1" customWidth="1"/>
    <col min="57" max="57" width="7.6640625" bestFit="1" customWidth="1"/>
    <col min="58" max="58" width="6.6640625" bestFit="1" customWidth="1"/>
    <col min="59" max="60" width="8.6640625" bestFit="1" customWidth="1"/>
    <col min="61" max="64" width="11.33203125" bestFit="1" customWidth="1"/>
    <col min="65" max="65" width="10" bestFit="1" customWidth="1"/>
    <col min="66" max="66" width="11.21875" bestFit="1" customWidth="1"/>
    <col min="67" max="67" width="8.6640625" bestFit="1" customWidth="1"/>
    <col min="68" max="68" width="7.6640625" bestFit="1" customWidth="1"/>
    <col min="69" max="69" width="6.6640625" bestFit="1" customWidth="1"/>
    <col min="70" max="71" width="8.6640625" bestFit="1" customWidth="1"/>
    <col min="72" max="76" width="11.33203125" bestFit="1" customWidth="1"/>
    <col min="77" max="77" width="10" bestFit="1" customWidth="1"/>
    <col min="78" max="82" width="12.21875" bestFit="1" customWidth="1"/>
    <col min="83" max="83" width="16.77734375" bestFit="1" customWidth="1"/>
    <col min="84" max="84" width="19.5546875" bestFit="1" customWidth="1"/>
    <col min="85" max="85" width="17.6640625" bestFit="1" customWidth="1"/>
    <col min="86" max="86" width="18.77734375" bestFit="1" customWidth="1"/>
    <col min="87" max="87" width="16.33203125" bestFit="1" customWidth="1"/>
    <col min="88" max="88" width="14.88671875" bestFit="1" customWidth="1"/>
    <col min="89" max="89" width="15.5546875" bestFit="1" customWidth="1"/>
    <col min="90" max="90" width="8.6640625" bestFit="1" customWidth="1"/>
    <col min="91" max="91" width="9.6640625" bestFit="1" customWidth="1"/>
    <col min="92" max="92" width="8.6640625" bestFit="1" customWidth="1"/>
    <col min="93" max="93" width="9.6640625" bestFit="1" customWidth="1"/>
    <col min="94" max="94" width="8.6640625" bestFit="1" customWidth="1"/>
    <col min="95" max="95" width="9.6640625" bestFit="1" customWidth="1"/>
    <col min="96" max="96" width="8.6640625" bestFit="1" customWidth="1"/>
    <col min="97" max="99" width="11.33203125" bestFit="1" customWidth="1"/>
    <col min="100" max="101" width="8.6640625" bestFit="1" customWidth="1"/>
    <col min="102" max="103" width="11.33203125" bestFit="1" customWidth="1"/>
    <col min="104" max="104" width="8.6640625" bestFit="1" customWidth="1"/>
    <col min="105" max="105" width="9" bestFit="1" customWidth="1"/>
    <col min="106" max="107" width="11.33203125" bestFit="1" customWidth="1"/>
    <col min="108" max="108" width="11.21875" bestFit="1" customWidth="1"/>
    <col min="109" max="109" width="8.6640625" bestFit="1" customWidth="1"/>
    <col min="110" max="110" width="7.6640625" bestFit="1" customWidth="1"/>
    <col min="111" max="111" width="6.6640625" bestFit="1" customWidth="1"/>
    <col min="112" max="113" width="8.6640625" bestFit="1" customWidth="1"/>
    <col min="114" max="119" width="11.33203125" bestFit="1" customWidth="1"/>
    <col min="120" max="120" width="10" bestFit="1" customWidth="1"/>
    <col min="121" max="123" width="9.6640625" bestFit="1" customWidth="1"/>
    <col min="124" max="124" width="8.6640625" bestFit="1" customWidth="1"/>
    <col min="125" max="127" width="11.33203125" bestFit="1" customWidth="1"/>
    <col min="128" max="129" width="8.6640625" bestFit="1" customWidth="1"/>
    <col min="130" max="131" width="11.33203125" bestFit="1" customWidth="1"/>
    <col min="132" max="132" width="8.6640625" bestFit="1" customWidth="1"/>
    <col min="133" max="133" width="9" bestFit="1" customWidth="1"/>
    <col min="134" max="135" width="11.33203125" bestFit="1" customWidth="1"/>
    <col min="136" max="136" width="11.21875" bestFit="1" customWidth="1"/>
    <col min="137" max="137" width="8.6640625" bestFit="1" customWidth="1"/>
    <col min="138" max="138" width="7.6640625" bestFit="1" customWidth="1"/>
    <col min="139" max="139" width="6.6640625" bestFit="1" customWidth="1"/>
    <col min="140" max="140" width="8.6640625" bestFit="1" customWidth="1"/>
    <col min="141" max="146" width="11.33203125" bestFit="1" customWidth="1"/>
    <col min="147" max="147" width="10" bestFit="1" customWidth="1"/>
    <col min="148" max="150" width="11.33203125" bestFit="1" customWidth="1"/>
    <col min="151" max="151" width="10" bestFit="1" customWidth="1"/>
    <col min="152" max="153" width="11.33203125" bestFit="1" customWidth="1"/>
    <col min="154" max="154" width="10" bestFit="1" customWidth="1"/>
    <col min="155" max="156" width="11.33203125" bestFit="1" customWidth="1"/>
    <col min="157" max="157" width="10" bestFit="1" customWidth="1"/>
    <col min="158" max="158" width="11.33203125" bestFit="1" customWidth="1"/>
    <col min="159" max="160" width="10" bestFit="1" customWidth="1"/>
    <col min="161" max="161" width="11.33203125" bestFit="1" customWidth="1"/>
    <col min="162" max="162" width="10" bestFit="1" customWidth="1"/>
  </cols>
  <sheetData>
    <row r="1" spans="1:3" ht="18" x14ac:dyDescent="0.35">
      <c r="A1" s="31" t="s">
        <v>61</v>
      </c>
      <c r="B1" s="32"/>
      <c r="C1" s="24"/>
    </row>
    <row r="2" spans="1:3" x14ac:dyDescent="0.3">
      <c r="A2" s="10" t="s">
        <v>1</v>
      </c>
      <c r="B2" s="28" t="s">
        <v>2</v>
      </c>
      <c r="C2" s="25"/>
    </row>
    <row r="3" spans="1:3" x14ac:dyDescent="0.3">
      <c r="A3" s="30" t="s">
        <v>1</v>
      </c>
      <c r="B3" s="1">
        <v>0</v>
      </c>
      <c r="C3" s="25"/>
    </row>
    <row r="4" spans="1:3" x14ac:dyDescent="0.3">
      <c r="A4" s="30" t="s">
        <v>3</v>
      </c>
      <c r="B4" s="1"/>
      <c r="C4" s="25"/>
    </row>
    <row r="5" spans="1:3" x14ac:dyDescent="0.3">
      <c r="A5" s="30" t="s">
        <v>23</v>
      </c>
      <c r="B5" s="1">
        <v>5</v>
      </c>
      <c r="C5" s="25"/>
    </row>
    <row r="6" spans="1:3" x14ac:dyDescent="0.3">
      <c r="A6" s="26" t="s">
        <v>47</v>
      </c>
      <c r="B6" s="1">
        <v>10</v>
      </c>
      <c r="C6" s="25"/>
    </row>
    <row r="7" spans="1:3" x14ac:dyDescent="0.3">
      <c r="A7" s="21" t="s">
        <v>3</v>
      </c>
      <c r="B7" s="27">
        <v>15</v>
      </c>
      <c r="C7" s="25"/>
    </row>
    <row r="8" spans="1:3" x14ac:dyDescent="0.3">
      <c r="C8" s="25"/>
    </row>
    <row r="9" spans="1:3" x14ac:dyDescent="0.3">
      <c r="C9" s="25"/>
    </row>
    <row r="10" spans="1:3" x14ac:dyDescent="0.3">
      <c r="C10" s="25"/>
    </row>
    <row r="11" spans="1:3" x14ac:dyDescent="0.3">
      <c r="C11" s="25"/>
    </row>
    <row r="12" spans="1:3" x14ac:dyDescent="0.3">
      <c r="C12" s="25"/>
    </row>
    <row r="13" spans="1:3" x14ac:dyDescent="0.3">
      <c r="C13" s="25"/>
    </row>
    <row r="14" spans="1:3" x14ac:dyDescent="0.3">
      <c r="C14" s="25"/>
    </row>
    <row r="17" spans="3:6" x14ac:dyDescent="0.3">
      <c r="C17"/>
    </row>
    <row r="18" spans="3:6" x14ac:dyDescent="0.3">
      <c r="C18"/>
    </row>
    <row r="19" spans="3:6" ht="18" x14ac:dyDescent="0.35">
      <c r="D19" s="31" t="s">
        <v>62</v>
      </c>
      <c r="E19" s="32"/>
    </row>
    <row r="20" spans="3:6" x14ac:dyDescent="0.3">
      <c r="D20" s="3" t="s">
        <v>60</v>
      </c>
      <c r="E20" s="4" t="s">
        <v>63</v>
      </c>
      <c r="F20" s="29" t="s">
        <v>64</v>
      </c>
    </row>
    <row r="21" spans="3:6" x14ac:dyDescent="0.3">
      <c r="D21" s="20" t="s">
        <v>48</v>
      </c>
      <c r="E21" s="1">
        <f>SUM(Totais[Total Janeiro])/2</f>
        <v>0</v>
      </c>
      <c r="F21" s="1" cm="1">
        <f t="array" ref="F21">SUMPRODUCT(SUMIF(Totais[Categoria],A3:A50,Totais[Total Janeiro]))/2</f>
        <v>0</v>
      </c>
    </row>
    <row r="22" spans="3:6" x14ac:dyDescent="0.3">
      <c r="D22" s="20" t="s">
        <v>49</v>
      </c>
      <c r="E22" s="1">
        <f>SUM(Totais[Total Fevereiro])/2</f>
        <v>0</v>
      </c>
      <c r="F22" s="1" cm="1">
        <f t="array" ref="F22">SUMPRODUCT(SUMIF(Totais[Categoria],A3:A50,Totais[Total Fevereiro]))/2</f>
        <v>0</v>
      </c>
    </row>
    <row r="23" spans="3:6" x14ac:dyDescent="0.3">
      <c r="D23" s="20" t="s">
        <v>50</v>
      </c>
      <c r="E23" s="1">
        <f>SUM(Totais[Total Março])/2</f>
        <v>0</v>
      </c>
      <c r="F23" s="1" cm="1">
        <f t="array" ref="F23">SUMPRODUCT(SUMIF(Totais[Categoria],A3:A50,Totais[Total Março]))/2</f>
        <v>0</v>
      </c>
    </row>
    <row r="24" spans="3:6" x14ac:dyDescent="0.3">
      <c r="D24" s="20" t="s">
        <v>51</v>
      </c>
      <c r="E24" s="1">
        <f>SUM(Totais[Total Abril])/2</f>
        <v>0</v>
      </c>
      <c r="F24" s="1" cm="1">
        <f t="array" ref="F24">SUMPRODUCT(SUMIF(Totais[Categoria],A3:A50,Totais[Total Abril]))/2</f>
        <v>0</v>
      </c>
    </row>
    <row r="25" spans="3:6" x14ac:dyDescent="0.3">
      <c r="D25" s="20" t="s">
        <v>52</v>
      </c>
      <c r="E25" s="1">
        <f>SUM(Totais[Total Maio])/2</f>
        <v>0</v>
      </c>
      <c r="F25" s="1" cm="1">
        <f t="array" ref="F25">SUMPRODUCT(SUMIF(Totais[Categoria],A3:A50,Totais[Total Maio]))/2</f>
        <v>0</v>
      </c>
    </row>
    <row r="26" spans="3:6" x14ac:dyDescent="0.3">
      <c r="D26" s="20" t="s">
        <v>53</v>
      </c>
      <c r="E26" s="1">
        <f>SUM(Totais[Total Junho])/2</f>
        <v>0</v>
      </c>
      <c r="F26" s="1" cm="1">
        <f t="array" ref="F26">SUMPRODUCT(SUMIF(Totais[Categoria],A3:A50,Totais[Total Junho]))/2</f>
        <v>0</v>
      </c>
    </row>
    <row r="27" spans="3:6" x14ac:dyDescent="0.3">
      <c r="D27" s="20" t="s">
        <v>54</v>
      </c>
      <c r="E27" s="1">
        <f>SUM(Totais[Total Julho])/2</f>
        <v>0</v>
      </c>
      <c r="F27" s="1" cm="1">
        <f t="array" ref="F27">SUMPRODUCT(SUMIF(Totais[Categoria],A3:A50,Totais[Total Julho]))/2</f>
        <v>0</v>
      </c>
    </row>
    <row r="28" spans="3:6" x14ac:dyDescent="0.3">
      <c r="D28" s="20" t="s">
        <v>55</v>
      </c>
      <c r="E28" s="1">
        <f>SUM(Totais[Total Agosto])/2</f>
        <v>0</v>
      </c>
      <c r="F28" s="1" cm="1">
        <f t="array" ref="F28">SUMPRODUCT(SUMIF(Totais[Categoria],A3:A50,Totais[Total Agosto]))/2</f>
        <v>0</v>
      </c>
    </row>
    <row r="29" spans="3:6" x14ac:dyDescent="0.3">
      <c r="D29" s="20" t="s">
        <v>56</v>
      </c>
      <c r="E29" s="1">
        <f>SUM(Totais[Total Setembro])/2</f>
        <v>0</v>
      </c>
      <c r="F29" s="1" cm="1">
        <f t="array" ref="F29">SUMPRODUCT(SUMIF(Totais[Categoria],A3:A50,Totais[Total Setembro]))/2</f>
        <v>0</v>
      </c>
    </row>
    <row r="30" spans="3:6" x14ac:dyDescent="0.3">
      <c r="D30" s="20" t="s">
        <v>57</v>
      </c>
      <c r="E30" s="1">
        <f>SUM(Totais[Total Outubro])/2</f>
        <v>0</v>
      </c>
      <c r="F30" s="1" cm="1">
        <f t="array" ref="F30">SUMPRODUCT(SUMIF(Totais[Categoria],A3:A50,Totais[Total Outubro]))/2</f>
        <v>0</v>
      </c>
    </row>
    <row r="31" spans="3:6" x14ac:dyDescent="0.3">
      <c r="D31" s="20" t="s">
        <v>58</v>
      </c>
      <c r="E31" s="1">
        <f>SUM(Totais[Total Novembro])/2</f>
        <v>0</v>
      </c>
      <c r="F31" s="1" cm="1">
        <f t="array" ref="F31">SUMPRODUCT(SUMIF(Totais[Categoria],A3:A50,Totais[Total Novembro]))/2</f>
        <v>0</v>
      </c>
    </row>
    <row r="32" spans="3:6" x14ac:dyDescent="0.3">
      <c r="D32" s="20" t="s">
        <v>59</v>
      </c>
      <c r="E32" s="1">
        <f>SUM(Totais[Total Dezembro])/2</f>
        <v>15</v>
      </c>
      <c r="F32" s="1" cm="1">
        <f t="array" ref="F32">SUMPRODUCT(SUMIF(Totais[Categoria],A3:A5,Totais[Total Dezembro]))/2</f>
        <v>10</v>
      </c>
    </row>
  </sheetData>
  <mergeCells count="2">
    <mergeCell ref="A1:B1"/>
    <mergeCell ref="D19:E19"/>
  </mergeCells>
  <phoneticPr fontId="7" type="noConversion"/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C58F3-5005-48B7-A51D-42DD12B0420B}">
  <sheetPr codeName="Planilha20"/>
  <dimension ref="B1:O19"/>
  <sheetViews>
    <sheetView topLeftCell="A2" workbookViewId="0">
      <selection activeCell="A8" sqref="A8"/>
    </sheetView>
  </sheetViews>
  <sheetFormatPr defaultRowHeight="14.4" x14ac:dyDescent="0.3"/>
  <cols>
    <col min="1" max="1" width="19.109375" customWidth="1"/>
    <col min="2" max="2" width="13.44140625" customWidth="1"/>
    <col min="3" max="3" width="10.77734375" bestFit="1" customWidth="1"/>
    <col min="4" max="4" width="14.44140625" customWidth="1"/>
    <col min="5" max="5" width="16" bestFit="1" customWidth="1"/>
    <col min="6" max="6" width="15.109375" bestFit="1" customWidth="1"/>
    <col min="7" max="7" width="13.21875" bestFit="1" customWidth="1"/>
    <col min="8" max="8" width="11.33203125" bestFit="1" customWidth="1"/>
    <col min="9" max="9" width="12" bestFit="1" customWidth="1"/>
    <col min="10" max="10" width="11.109375" bestFit="1" customWidth="1"/>
    <col min="11" max="11" width="12.21875" bestFit="1" customWidth="1"/>
    <col min="12" max="12" width="16.21875" bestFit="1" customWidth="1"/>
    <col min="13" max="13" width="14.44140625" bestFit="1" customWidth="1"/>
    <col min="14" max="14" width="15.44140625" bestFit="1" customWidth="1"/>
    <col min="15" max="15" width="13.6640625" style="5" customWidth="1"/>
  </cols>
  <sheetData>
    <row r="1" spans="2:15" ht="19.2" hidden="1" customHeight="1" x14ac:dyDescent="0.3">
      <c r="B1" t="s">
        <v>1</v>
      </c>
      <c r="C1" t="s">
        <v>44</v>
      </c>
      <c r="D1" t="s">
        <v>37</v>
      </c>
      <c r="E1" t="s">
        <v>41</v>
      </c>
      <c r="F1" t="s">
        <v>35</v>
      </c>
      <c r="G1" t="s">
        <v>34</v>
      </c>
      <c r="H1" t="s">
        <v>36</v>
      </c>
      <c r="I1" t="s">
        <v>45</v>
      </c>
      <c r="J1" t="s">
        <v>42</v>
      </c>
      <c r="K1" t="s">
        <v>43</v>
      </c>
      <c r="L1" t="s">
        <v>40</v>
      </c>
      <c r="M1" t="s">
        <v>39</v>
      </c>
      <c r="N1" t="s">
        <v>38</v>
      </c>
      <c r="O1" s="5" t="s">
        <v>0</v>
      </c>
    </row>
    <row r="2" spans="2:15" x14ac:dyDescent="0.3">
      <c r="B2" s="22" t="s">
        <v>1</v>
      </c>
      <c r="C2" s="22" t="s">
        <v>44</v>
      </c>
      <c r="D2" s="22" t="s">
        <v>37</v>
      </c>
      <c r="E2" s="22" t="s">
        <v>41</v>
      </c>
      <c r="F2" s="22" t="s">
        <v>35</v>
      </c>
      <c r="G2" s="22" t="s">
        <v>34</v>
      </c>
      <c r="H2" s="22" t="s">
        <v>36</v>
      </c>
      <c r="I2" s="22" t="s">
        <v>45</v>
      </c>
      <c r="J2" s="22" t="s">
        <v>42</v>
      </c>
      <c r="K2" s="22" t="s">
        <v>43</v>
      </c>
      <c r="L2" s="22" t="s">
        <v>40</v>
      </c>
      <c r="M2" s="22" t="s">
        <v>39</v>
      </c>
      <c r="N2" s="22" t="s">
        <v>38</v>
      </c>
      <c r="O2" s="23" t="s">
        <v>0</v>
      </c>
    </row>
    <row r="3" spans="2:15" x14ac:dyDescent="0.3">
      <c r="B3" t="s">
        <v>23</v>
      </c>
      <c r="C3" s="5"/>
      <c r="D3" s="5"/>
      <c r="E3" s="5">
        <v>5</v>
      </c>
      <c r="F3" s="5"/>
      <c r="G3" s="5"/>
      <c r="H3" s="5"/>
      <c r="I3" s="5"/>
      <c r="J3" s="5"/>
      <c r="K3" s="5"/>
      <c r="L3" s="5"/>
      <c r="M3" s="5"/>
      <c r="N3" s="5"/>
      <c r="O3" s="5">
        <f>SUM(Totais[[#This Row],[Total Abril]:[Total Setembro]])</f>
        <v>5</v>
      </c>
    </row>
    <row r="4" spans="2:15" x14ac:dyDescent="0.3">
      <c r="B4" t="s">
        <v>47</v>
      </c>
      <c r="C4" s="5">
        <v>0</v>
      </c>
      <c r="D4" s="5">
        <v>0</v>
      </c>
      <c r="E4" s="5">
        <v>10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f>SUM(Totais[[#This Row],[Total Abril]:[Total Setembro]])</f>
        <v>10</v>
      </c>
    </row>
    <row r="5" spans="2:15" x14ac:dyDescent="0.3">
      <c r="B5" t="s">
        <v>3</v>
      </c>
      <c r="C5" s="5">
        <v>0</v>
      </c>
      <c r="D5" s="5">
        <v>0</v>
      </c>
      <c r="E5" s="5">
        <v>15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</row>
    <row r="18" spans="14:15" x14ac:dyDescent="0.3">
      <c r="N18" s="5"/>
      <c r="O18"/>
    </row>
    <row r="19" spans="14:15" x14ac:dyDescent="0.3">
      <c r="N19" s="5"/>
      <c r="O19"/>
    </row>
  </sheetData>
  <dataConsolidate topLabels="1">
    <dataRefs count="12">
      <dataRef ref="F1:G1048576" sheet="Abril"/>
      <dataRef ref="F1:G1048576" sheet="Agosto"/>
      <dataRef ref="F1:G1048576" sheet="Dezembro"/>
      <dataRef ref="F1:G1048576" sheet="Fevereiro"/>
      <dataRef ref="F1:G1048576" sheet="Janeiro"/>
      <dataRef ref="F1:G1048576" sheet="Julho"/>
      <dataRef ref="F1:G1048576" sheet="Junho"/>
      <dataRef ref="F1:G1048576" sheet="Maio"/>
      <dataRef ref="F1:G1048576" sheet="Março"/>
      <dataRef ref="F1:G1048576" sheet="Novembro"/>
      <dataRef ref="F1:G1048576" sheet="Outubro"/>
      <dataRef ref="F1:G1048576" sheet="Setembro"/>
    </dataRefs>
  </dataConsolid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acrotop">
                <anchor moveWithCells="1" sizeWithCells="1">
                  <from>
                    <xdr:col>0</xdr:col>
                    <xdr:colOff>45720</xdr:colOff>
                    <xdr:row>1</xdr:row>
                    <xdr:rowOff>175260</xdr:rowOff>
                  </from>
                  <to>
                    <xdr:col>0</xdr:col>
                    <xdr:colOff>1242060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73D6-780F-475C-8B2F-86CD848052C3}">
  <sheetPr codeName="Planilha21"/>
  <dimension ref="B1:O25"/>
  <sheetViews>
    <sheetView workbookViewId="0">
      <selection activeCell="A13" sqref="A13"/>
    </sheetView>
  </sheetViews>
  <sheetFormatPr defaultRowHeight="14.4" x14ac:dyDescent="0.3"/>
  <cols>
    <col min="1" max="1" width="17" customWidth="1"/>
    <col min="2" max="2" width="18.109375" bestFit="1" customWidth="1"/>
    <col min="3" max="3" width="15.109375" customWidth="1"/>
    <col min="4" max="4" width="13.77734375" bestFit="1" customWidth="1"/>
    <col min="5" max="5" width="16.5546875" bestFit="1" customWidth="1"/>
    <col min="6" max="6" width="15.77734375" bestFit="1" customWidth="1"/>
    <col min="7" max="7" width="13.88671875" bestFit="1" customWidth="1"/>
    <col min="8" max="8" width="12.33203125" bestFit="1" customWidth="1"/>
    <col min="9" max="9" width="13" bestFit="1" customWidth="1"/>
    <col min="10" max="10" width="12.21875" bestFit="1" customWidth="1"/>
    <col min="11" max="11" width="13.33203125" bestFit="1" customWidth="1"/>
    <col min="12" max="12" width="17" bestFit="1" customWidth="1"/>
    <col min="13" max="13" width="15" bestFit="1" customWidth="1"/>
    <col min="14" max="14" width="16.21875" bestFit="1" customWidth="1"/>
    <col min="15" max="15" width="14.21875" customWidth="1"/>
  </cols>
  <sheetData>
    <row r="1" spans="2:15" ht="16.8" customHeight="1" x14ac:dyDescent="0.3">
      <c r="B1" s="16" t="s">
        <v>4</v>
      </c>
      <c r="C1" s="16" t="s">
        <v>44</v>
      </c>
      <c r="D1" s="16" t="s">
        <v>37</v>
      </c>
      <c r="E1" s="16" t="s">
        <v>41</v>
      </c>
      <c r="F1" s="16" t="s">
        <v>35</v>
      </c>
      <c r="G1" s="16" t="s">
        <v>34</v>
      </c>
      <c r="H1" s="16" t="s">
        <v>36</v>
      </c>
      <c r="I1" s="16" t="s">
        <v>45</v>
      </c>
      <c r="J1" s="16" t="s">
        <v>42</v>
      </c>
      <c r="K1" s="16" t="s">
        <v>43</v>
      </c>
      <c r="L1" s="16" t="s">
        <v>40</v>
      </c>
      <c r="M1" s="16" t="s">
        <v>39</v>
      </c>
      <c r="N1" s="16" t="s">
        <v>38</v>
      </c>
      <c r="O1" s="16" t="s">
        <v>0</v>
      </c>
    </row>
    <row r="2" spans="2:15" ht="18" customHeight="1" x14ac:dyDescent="0.35">
      <c r="B2" s="17" t="s">
        <v>4</v>
      </c>
      <c r="C2" s="17" t="s">
        <v>44</v>
      </c>
      <c r="D2" s="17" t="s">
        <v>37</v>
      </c>
      <c r="E2" s="17" t="s">
        <v>41</v>
      </c>
      <c r="F2" s="17" t="s">
        <v>35</v>
      </c>
      <c r="G2" s="17" t="s">
        <v>34</v>
      </c>
      <c r="H2" s="17" t="s">
        <v>36</v>
      </c>
      <c r="I2" s="18" t="s">
        <v>45</v>
      </c>
      <c r="J2" s="17" t="s">
        <v>42</v>
      </c>
      <c r="K2" s="17" t="s">
        <v>43</v>
      </c>
      <c r="L2" s="17" t="s">
        <v>40</v>
      </c>
      <c r="M2" s="17" t="s">
        <v>39</v>
      </c>
      <c r="N2" s="17" t="s">
        <v>38</v>
      </c>
      <c r="O2" s="19" t="s">
        <v>0</v>
      </c>
    </row>
    <row r="3" spans="2:15" hidden="1" x14ac:dyDescent="0.3">
      <c r="B3" t="s">
        <v>46</v>
      </c>
      <c r="I3" s="5"/>
      <c r="L3" s="5"/>
      <c r="O3" s="5">
        <f>SUM(Totais263031101710[[#This Row],[Total Abril]:[Total Setembro]])</f>
        <v>0</v>
      </c>
    </row>
    <row r="4" spans="2:15" ht="14.4" customHeight="1" x14ac:dyDescent="0.3">
      <c r="B4" t="s">
        <v>6</v>
      </c>
      <c r="C4" s="5"/>
      <c r="D4" s="5"/>
      <c r="E4" s="5"/>
      <c r="F4" s="5"/>
      <c r="G4" s="5"/>
      <c r="H4" s="5"/>
      <c r="I4" s="5">
        <v>179.89</v>
      </c>
      <c r="K4" s="5"/>
      <c r="L4" s="5"/>
      <c r="M4" s="5"/>
      <c r="N4" s="5"/>
      <c r="O4" s="5">
        <f>SUM(Totais263031101710[[#This Row],[Total Abril]:[Total Setembro]])</f>
        <v>179.89</v>
      </c>
    </row>
    <row r="5" spans="2:15" x14ac:dyDescent="0.3">
      <c r="B5" t="s">
        <v>5</v>
      </c>
      <c r="C5" s="5"/>
      <c r="D5" s="5"/>
      <c r="E5" s="5"/>
      <c r="F5" s="5"/>
      <c r="G5" s="5"/>
      <c r="H5" s="5"/>
      <c r="I5" s="5"/>
      <c r="K5" s="5"/>
      <c r="L5" s="5">
        <v>179</v>
      </c>
      <c r="M5" s="5"/>
      <c r="N5" s="5"/>
      <c r="O5" s="5">
        <f>SUM(Totais263031101710[[#This Row],[Total Abril]:[Total Setembro]])</f>
        <v>179</v>
      </c>
    </row>
    <row r="6" spans="2:15" x14ac:dyDescent="0.3">
      <c r="B6" t="s">
        <v>8</v>
      </c>
      <c r="D6" s="5">
        <v>4000</v>
      </c>
      <c r="E6" s="5">
        <v>4000</v>
      </c>
      <c r="F6" s="5">
        <v>0</v>
      </c>
      <c r="G6" s="5">
        <v>0</v>
      </c>
      <c r="H6" s="5">
        <v>4000</v>
      </c>
      <c r="I6" s="5">
        <v>2400</v>
      </c>
      <c r="K6" s="5">
        <v>0</v>
      </c>
      <c r="L6" s="5">
        <v>4000</v>
      </c>
      <c r="M6" s="5">
        <v>4000</v>
      </c>
      <c r="N6" s="5">
        <v>4000</v>
      </c>
      <c r="O6" s="5">
        <f>SUM(Totais263031101710[[#This Row],[Total Abril]:[Total Setembro]])</f>
        <v>26400</v>
      </c>
    </row>
    <row r="7" spans="2:15" x14ac:dyDescent="0.3">
      <c r="B7" t="s">
        <v>10</v>
      </c>
      <c r="D7" s="5"/>
      <c r="H7" s="5"/>
      <c r="I7" s="5"/>
      <c r="L7" s="5">
        <v>40</v>
      </c>
      <c r="M7" s="5"/>
      <c r="N7" s="5"/>
      <c r="O7" s="5">
        <f>SUM(Totais263031101710[[#This Row],[Total Abril]:[Total Setembro]])</f>
        <v>40</v>
      </c>
    </row>
    <row r="8" spans="2:15" x14ac:dyDescent="0.3">
      <c r="B8" t="s">
        <v>11</v>
      </c>
      <c r="D8" s="5">
        <v>465.89</v>
      </c>
      <c r="H8" s="5">
        <v>157.13999999999999</v>
      </c>
      <c r="I8" s="5">
        <v>477.79</v>
      </c>
      <c r="J8" s="5"/>
      <c r="L8" s="5">
        <v>264.86</v>
      </c>
      <c r="M8" s="5">
        <v>180.57</v>
      </c>
      <c r="N8" s="5">
        <v>246.78</v>
      </c>
      <c r="O8" s="5">
        <f>SUM(Totais263031101710[[#This Row],[Total Abril]:[Total Setembro]])</f>
        <v>1793.0299999999997</v>
      </c>
    </row>
    <row r="9" spans="2:15" x14ac:dyDescent="0.3">
      <c r="B9" t="s">
        <v>12</v>
      </c>
      <c r="D9" s="5">
        <v>800</v>
      </c>
      <c r="H9" s="5">
        <v>800</v>
      </c>
      <c r="I9" s="5">
        <v>160</v>
      </c>
      <c r="J9" s="5"/>
      <c r="L9" s="5">
        <v>640</v>
      </c>
      <c r="M9" s="5">
        <v>640</v>
      </c>
      <c r="N9" s="5">
        <v>640</v>
      </c>
      <c r="O9" s="5">
        <f>SUM(Totais263031101710[[#This Row],[Total Abril]:[Total Setembro]])</f>
        <v>3680</v>
      </c>
    </row>
    <row r="10" spans="2:15" x14ac:dyDescent="0.3">
      <c r="B10" t="s">
        <v>7</v>
      </c>
      <c r="D10" s="5"/>
      <c r="H10" s="5"/>
      <c r="J10" s="5">
        <v>150</v>
      </c>
      <c r="L10" s="5"/>
      <c r="M10" s="5"/>
      <c r="N10" s="5"/>
      <c r="O10" s="5">
        <f>SUM(Totais263031101710[[#This Row],[Total Abril]:[Total Setembro]])</f>
        <v>150</v>
      </c>
    </row>
    <row r="11" spans="2:15" x14ac:dyDescent="0.3">
      <c r="B11" t="s">
        <v>9</v>
      </c>
      <c r="D11" s="5"/>
      <c r="H11" s="5"/>
      <c r="J11" s="5">
        <v>3000</v>
      </c>
      <c r="L11" s="5"/>
      <c r="M11" s="5"/>
      <c r="N11" s="5"/>
      <c r="O11" s="5">
        <f>SUM(Totais263031101710[[#This Row],[Total Abril]:[Total Setembro]])</f>
        <v>3000</v>
      </c>
    </row>
    <row r="12" spans="2:15" x14ac:dyDescent="0.3">
      <c r="B12" t="s">
        <v>13</v>
      </c>
      <c r="D12" s="5">
        <v>880</v>
      </c>
      <c r="E12" s="5"/>
      <c r="H12" s="5">
        <v>1040</v>
      </c>
      <c r="I12" s="5"/>
      <c r="J12" s="5">
        <v>260</v>
      </c>
      <c r="L12" s="5">
        <v>1100</v>
      </c>
      <c r="M12" s="5">
        <v>880</v>
      </c>
      <c r="N12" s="5">
        <v>1100</v>
      </c>
      <c r="O12" s="5">
        <f>SUM(Totais263031101710[[#This Row],[Total Abril]:[Total Setembro]])</f>
        <v>5260</v>
      </c>
    </row>
    <row r="13" spans="2:15" x14ac:dyDescent="0.3">
      <c r="B13" t="s">
        <v>17</v>
      </c>
      <c r="D13" s="5">
        <v>177</v>
      </c>
      <c r="E13" s="5"/>
      <c r="H13" s="5"/>
      <c r="I13" s="5"/>
      <c r="L13" s="5"/>
      <c r="M13" s="5"/>
      <c r="O13" s="5">
        <f>SUM(Totais263031101710[[#This Row],[Total Abril]:[Total Setembro]])</f>
        <v>177</v>
      </c>
    </row>
    <row r="14" spans="2:15" x14ac:dyDescent="0.3">
      <c r="B14" t="s">
        <v>26</v>
      </c>
      <c r="E14" s="5"/>
      <c r="H14" s="5">
        <v>1033.3699999999999</v>
      </c>
      <c r="I14" s="5">
        <v>825.92</v>
      </c>
      <c r="L14" s="5">
        <v>798.05</v>
      </c>
      <c r="M14" s="5">
        <v>41</v>
      </c>
      <c r="O14" s="5">
        <f>SUM(Totais263031101710[[#This Row],[Total Abril]:[Total Setembro]])</f>
        <v>2698.34</v>
      </c>
    </row>
    <row r="15" spans="2:15" x14ac:dyDescent="0.3">
      <c r="B15" t="s">
        <v>16</v>
      </c>
      <c r="H15" s="5"/>
      <c r="I15" s="5">
        <v>29.7</v>
      </c>
      <c r="L15" s="5"/>
      <c r="M15" s="5"/>
      <c r="N15" s="5"/>
      <c r="O15" s="5">
        <f>SUM(Totais263031101710[[#This Row],[Total Abril]:[Total Setembro]])</f>
        <v>29.7</v>
      </c>
    </row>
    <row r="16" spans="2:15" x14ac:dyDescent="0.3">
      <c r="B16" t="s">
        <v>18</v>
      </c>
      <c r="H16" s="5"/>
      <c r="I16" s="5">
        <v>236</v>
      </c>
      <c r="L16" s="5"/>
      <c r="M16" s="5"/>
      <c r="N16" s="5"/>
      <c r="O16" s="5">
        <f>SUM(Totais263031101710[[#This Row],[Total Abril]:[Total Setembro]])</f>
        <v>236</v>
      </c>
    </row>
    <row r="17" spans="2:15" x14ac:dyDescent="0.3">
      <c r="B17" t="s">
        <v>15</v>
      </c>
      <c r="H17" s="5"/>
      <c r="I17" s="5"/>
      <c r="L17" s="5"/>
      <c r="M17" s="5"/>
      <c r="N17" s="5">
        <v>356</v>
      </c>
      <c r="O17" s="5">
        <f>SUM(Totais263031101710[[#This Row],[Total Abril]:[Total Setembro]])</f>
        <v>356</v>
      </c>
    </row>
    <row r="18" spans="2:15" x14ac:dyDescent="0.3">
      <c r="B18" t="s">
        <v>19</v>
      </c>
      <c r="H18" s="5">
        <v>137</v>
      </c>
      <c r="I18" s="5">
        <v>20</v>
      </c>
      <c r="L18" s="5">
        <v>364.49</v>
      </c>
      <c r="M18" s="5">
        <v>127.35</v>
      </c>
      <c r="N18" s="5">
        <v>170</v>
      </c>
      <c r="O18" s="5">
        <f>SUM(Totais263031101710[[#This Row],[Total Abril]:[Total Setembro]])</f>
        <v>818.84</v>
      </c>
    </row>
    <row r="19" spans="2:15" x14ac:dyDescent="0.3">
      <c r="B19" t="s">
        <v>20</v>
      </c>
      <c r="H19" s="5"/>
      <c r="I19" s="5">
        <v>32.68</v>
      </c>
      <c r="L19" s="5"/>
      <c r="M19" s="5"/>
      <c r="N19" s="5"/>
      <c r="O19" s="5">
        <f>SUM(Totais263031101710[[#This Row],[Total Abril]:[Total Setembro]])</f>
        <v>32.68</v>
      </c>
    </row>
    <row r="20" spans="2:15" x14ac:dyDescent="0.3">
      <c r="B20" t="s">
        <v>21</v>
      </c>
      <c r="I20" s="5">
        <v>114</v>
      </c>
      <c r="J20" s="5"/>
      <c r="O20" s="5">
        <f>SUM(Totais263031101710[[#This Row],[Total Abril]:[Total Setembro]])</f>
        <v>114</v>
      </c>
    </row>
    <row r="21" spans="2:15" x14ac:dyDescent="0.3">
      <c r="B21" t="s">
        <v>14</v>
      </c>
      <c r="I21" s="5"/>
      <c r="J21" s="5">
        <v>3850</v>
      </c>
      <c r="N21" s="5"/>
      <c r="O21" s="5">
        <f>SUM(Totais263031101710[[#This Row],[Total Abril]:[Total Setembro]])</f>
        <v>3850</v>
      </c>
    </row>
    <row r="22" spans="2:15" x14ac:dyDescent="0.3">
      <c r="B22" t="s">
        <v>22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>
        <v>407.41</v>
      </c>
      <c r="O22" s="5">
        <f>SUM(Totais263031101710[[#This Row],[Total Abril]:[Total Setembro]])</f>
        <v>407.41</v>
      </c>
    </row>
    <row r="23" spans="2:15" hidden="1" x14ac:dyDescent="0.3">
      <c r="B23" t="s">
        <v>3</v>
      </c>
      <c r="D23" s="5">
        <v>6322.89</v>
      </c>
      <c r="E23" s="5">
        <v>4000</v>
      </c>
      <c r="F23" s="5">
        <v>0</v>
      </c>
      <c r="G23" s="5">
        <v>0</v>
      </c>
      <c r="H23" s="5">
        <v>7167.51</v>
      </c>
      <c r="I23" s="5">
        <v>4475.9799999999996</v>
      </c>
      <c r="J23" s="5">
        <v>7260</v>
      </c>
      <c r="K23" s="5">
        <v>0</v>
      </c>
      <c r="L23" s="5">
        <v>7386.4</v>
      </c>
      <c r="M23" s="5">
        <v>5868.92</v>
      </c>
      <c r="N23" s="5">
        <v>6920.19</v>
      </c>
    </row>
    <row r="24" spans="2:15" hidden="1" x14ac:dyDescent="0.3">
      <c r="B24" t="s">
        <v>3</v>
      </c>
      <c r="D24" s="5">
        <v>6322.89</v>
      </c>
      <c r="E24" s="5">
        <v>4001</v>
      </c>
      <c r="F24" s="5">
        <v>0</v>
      </c>
      <c r="G24" s="5">
        <v>0</v>
      </c>
      <c r="H24" s="5">
        <v>7167.51</v>
      </c>
      <c r="I24" s="5">
        <v>4475.9799999999996</v>
      </c>
      <c r="J24" s="5">
        <v>7260</v>
      </c>
      <c r="K24" s="5">
        <v>0</v>
      </c>
      <c r="L24" s="5">
        <v>7386.4</v>
      </c>
      <c r="M24" s="5">
        <v>5868.92</v>
      </c>
      <c r="N24" s="5">
        <v>6920.19</v>
      </c>
    </row>
    <row r="25" spans="2:15" x14ac:dyDescent="0.3">
      <c r="B25" t="s">
        <v>0</v>
      </c>
      <c r="C25" s="5">
        <f>SUBTOTAL(109,Totais263031101710[Total Abril])</f>
        <v>0</v>
      </c>
      <c r="D25" s="5">
        <f>SUBTOTAL(109,Totais263031101710[Total Agosto])</f>
        <v>6322.89</v>
      </c>
      <c r="E25" s="5">
        <f>SUBTOTAL(109,Totais263031101710[Total Dezembro])</f>
        <v>4000</v>
      </c>
      <c r="F25" s="5">
        <f>SUBTOTAL(109,Totais263031101710[Total Fevereiro])</f>
        <v>0</v>
      </c>
      <c r="G25" s="5">
        <f>SUBTOTAL(109,Totais263031101710[Total Janeiro])</f>
        <v>0</v>
      </c>
      <c r="H25" s="5">
        <f>SUBTOTAL(109,Totais263031101710[Total Julho])</f>
        <v>7167.51</v>
      </c>
      <c r="I25" s="5">
        <f>SUBTOTAL(109,Totais263031101710[Total Junho])</f>
        <v>4475.9799999999996</v>
      </c>
      <c r="J25" s="5">
        <f>SUBTOTAL(109,Totais263031101710[Total Maio])</f>
        <v>7260</v>
      </c>
      <c r="K25" s="5">
        <f>SUBTOTAL(109,Totais263031101710[Total Março])</f>
        <v>0</v>
      </c>
      <c r="L25" s="5">
        <f>SUBTOTAL(109,Totais263031101710[Total Novembro])</f>
        <v>7386.4</v>
      </c>
      <c r="M25" s="5">
        <f>SUBTOTAL(109,Totais263031101710[Total Outubro])</f>
        <v>5868.92</v>
      </c>
      <c r="N25" s="5">
        <f>SUBTOTAL(109,Totais263031101710[Total Setembro])</f>
        <v>6920.19</v>
      </c>
      <c r="O25" s="5">
        <f>SUBTOTAL(109,Totais263031101710[Total])</f>
        <v>49401.889999999992</v>
      </c>
    </row>
  </sheetData>
  <dataConsolidate topLabels="1">
    <dataRefs count="12">
      <dataRef ref="F1:G1048576" sheet="Abril"/>
      <dataRef ref="F1:G1048576" sheet="Agosto"/>
      <dataRef ref="F1:G1048576" sheet="Dezembro"/>
      <dataRef ref="F1:G1048576" sheet="Fevereiro"/>
      <dataRef ref="F1:G1048576" sheet="Janeiro"/>
      <dataRef ref="F1:G1048576" sheet="Julho"/>
      <dataRef ref="F1:G1048576" sheet="Junho"/>
      <dataRef ref="F1:G1048576" sheet="Maio"/>
      <dataRef ref="F1:G1048576" sheet="Março"/>
      <dataRef ref="F1:G1048576" sheet="Novembro"/>
      <dataRef ref="F1:G1048576" sheet="Outubro"/>
      <dataRef ref="F1:G1048576" sheet="Setembro"/>
    </dataRefs>
  </dataConsolid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macrotop">
                <anchor moveWithCells="1" sizeWithCells="1">
                  <from>
                    <xdr:col>0</xdr:col>
                    <xdr:colOff>68580</xdr:colOff>
                    <xdr:row>2</xdr:row>
                    <xdr:rowOff>106680</xdr:rowOff>
                  </from>
                  <to>
                    <xdr:col>0</xdr:col>
                    <xdr:colOff>982980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1EAB21-BE4C-458C-8712-C59F5527FA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Categorias</vt:lpstr>
      <vt:lpstr>Tabelas</vt:lpstr>
      <vt:lpstr>Totais</vt:lpstr>
      <vt:lpstr>Totais (2)</vt:lpstr>
    </vt:vector>
  </TitlesOfParts>
  <Company>Ministerio Publico de Santa Catarina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Maristela Oribka</dc:creator>
  <cp:lastModifiedBy>Corvo Intelectus</cp:lastModifiedBy>
  <dcterms:created xsi:type="dcterms:W3CDTF">2023-11-03T20:35:32Z</dcterms:created>
  <dcterms:modified xsi:type="dcterms:W3CDTF">2024-02-09T00:45:23Z</dcterms:modified>
</cp:coreProperties>
</file>